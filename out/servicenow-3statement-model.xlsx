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_build" sheetId="1" state="visible" r:id="rId1"/>
    <sheet name="IS" sheetId="2" state="visible" r:id="rId2"/>
    <sheet name="BS" sheetId="3" state="visible" r:id="rId3"/>
    <sheet name="CF" sheetId="4" state="visible" r:id="rId4"/>
    <sheet name="WC" sheetId="5" state="visible" r:id="rId5"/>
    <sheet name="DA" sheetId="6" state="visible" r:id="rId6"/>
    <sheet name="Debt" sheetId="7" state="visible" r:id="rId7"/>
    <sheet name="Assumptions" sheetId="8" state="visible" r:id="rId8"/>
    <sheet name="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0.000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000000"/>
      <sz val="9"/>
    </font>
    <font>
      <b val="1"/>
      <color rgb="00000000"/>
      <sz val="10"/>
    </font>
    <font>
      <color rgb="00000000"/>
      <sz val="10"/>
    </font>
    <font>
      <i val="1"/>
      <color rgb="00000000"/>
      <sz val="10"/>
    </font>
    <font>
      <color rgb="000000FF"/>
      <sz val="10"/>
    </font>
    <font>
      <color rgb="00008000"/>
      <sz val="10"/>
    </font>
    <font>
      <b val="1"/>
      <i val="1"/>
      <color rgb="00000000"/>
      <sz val="10"/>
    </font>
    <font>
      <b val="1"/>
      <color rgb="00008000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/>
      <right style="medium"/>
      <top/>
      <bottom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indent="2"/>
    </xf>
    <xf numFmtId="37" fontId="6" fillId="0" borderId="0" pivotButton="0" quotePrefix="0" xfId="0"/>
    <xf numFmtId="37" fontId="4" fillId="0" borderId="0" pivotButton="0" quotePrefix="0" xfId="0"/>
    <xf numFmtId="37" fontId="4" fillId="0" borderId="1" pivotButton="0" quotePrefix="0" xfId="0"/>
    <xf numFmtId="37" fontId="6" fillId="0" borderId="1" pivotButton="0" quotePrefix="0" xfId="0"/>
    <xf numFmtId="37" fontId="7" fillId="0" borderId="0" pivotButton="0" quotePrefix="0" xfId="0"/>
    <xf numFmtId="0" fontId="3" fillId="0" borderId="0" applyAlignment="1" pivotButton="0" quotePrefix="0" xfId="0">
      <alignment horizontal="left" vertical="center"/>
    </xf>
    <xf numFmtId="37" fontId="3" fillId="4" borderId="0" pivotButton="0" quotePrefix="0" xfId="0"/>
    <xf numFmtId="37" fontId="3" fillId="4" borderId="1" pivotButton="0" quotePrefix="0" xfId="0"/>
    <xf numFmtId="0" fontId="5" fillId="0" borderId="0" applyAlignment="1" pivotButton="0" quotePrefix="0" xfId="0">
      <alignment horizontal="left" vertical="center" indent="2"/>
    </xf>
    <xf numFmtId="165" fontId="5" fillId="0" borderId="0" pivotButton="0" quotePrefix="0" xfId="0"/>
    <xf numFmtId="165" fontId="5" fillId="0" borderId="1" pivotButton="0" quotePrefix="0" xfId="0"/>
    <xf numFmtId="164" fontId="5" fillId="0" borderId="0" pivotButton="0" quotePrefix="0" xfId="0"/>
    <xf numFmtId="164" fontId="5" fillId="0" borderId="1" pivotButton="0" quotePrefix="0" xfId="0"/>
    <xf numFmtId="165" fontId="6" fillId="0" borderId="0" pivotButton="0" quotePrefix="0" xfId="0"/>
    <xf numFmtId="165" fontId="6" fillId="0" borderId="1" pivotButton="0" quotePrefix="0" xfId="0"/>
    <xf numFmtId="165" fontId="7" fillId="0" borderId="0" pivotButton="0" quotePrefix="0" xfId="0"/>
    <xf numFmtId="0" fontId="5" fillId="0" borderId="0" applyAlignment="1" pivotButton="0" quotePrefix="0" xfId="0">
      <alignment horizontal="left" vertical="center" indent="3"/>
    </xf>
    <xf numFmtId="37" fontId="5" fillId="0" borderId="0" pivotButton="0" quotePrefix="0" xfId="0"/>
    <xf numFmtId="37" fontId="5" fillId="0" borderId="1" pivotButton="0" quotePrefix="0" xfId="0"/>
    <xf numFmtId="3" fontId="6" fillId="0" borderId="0" pivotButton="0" quotePrefix="0" xfId="0"/>
    <xf numFmtId="3" fontId="6" fillId="0" borderId="1" pivotButton="0" quotePrefix="0" xfId="0"/>
    <xf numFmtId="3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165" fontId="4" fillId="0" borderId="0" pivotButton="0" quotePrefix="0" xfId="0"/>
    <xf numFmtId="165" fontId="4" fillId="0" borderId="1" pivotButton="0" quotePrefix="0" xfId="0"/>
    <xf numFmtId="37" fontId="9" fillId="0" borderId="0" pivotButton="0" quotePrefix="0" xfId="0"/>
    <xf numFmtId="0" fontId="5" fillId="0" borderId="0" applyAlignment="1" pivotButton="0" quotePrefix="0" xfId="0">
      <alignment horizontal="left" vertical="center"/>
    </xf>
    <xf numFmtId="37" fontId="1" fillId="2" borderId="0" pivotButton="0" quotePrefix="0" xfId="0"/>
    <xf numFmtId="37" fontId="1" fillId="2" borderId="1" pivotButton="0" quotePrefix="0" xfId="0"/>
    <xf numFmtId="37" fontId="7" fillId="0" borderId="1" pivotButton="0" quotePrefix="0" xfId="0"/>
    <xf numFmtId="37" fontId="3" fillId="0" borderId="0" pivotButton="0" quotePrefix="0" xfId="0"/>
    <xf numFmtId="37" fontId="3" fillId="0" borderId="1" pivotButton="0" quotePrefix="0" xfId="0"/>
    <xf numFmtId="166" fontId="5" fillId="0" borderId="0" pivotButton="0" quotePrefix="0" xfId="0"/>
    <xf numFmtId="166" fontId="5" fillId="0" borderId="1" pivotButton="0" quotePrefix="0" xfId="0"/>
    <xf numFmtId="0" fontId="4" fillId="0" borderId="0" applyAlignment="1" pivotButton="0" quotePrefix="0" xfId="0">
      <alignment horizontal="left" vertical="center" indent="1"/>
    </xf>
    <xf numFmtId="166" fontId="6" fillId="0" borderId="0" pivotButton="0" quotePrefix="0" xfId="0"/>
    <xf numFmtId="0" fontId="5" fillId="0" borderId="0" applyAlignment="1" pivotButton="0" quotePrefix="0" xfId="0">
      <alignment horizontal="left" vertical="center" indent="1"/>
    </xf>
    <xf numFmtId="167" fontId="6" fillId="0" borderId="0" pivotButton="0" quotePrefix="0" xfId="0"/>
    <xf numFmtId="37" fontId="0" fillId="0" borderId="0" applyAlignment="1" pivotButton="0" quotePrefix="0" xfId="0">
      <alignment horizontal="center" vertical="center"/>
    </xf>
    <xf numFmtId="37" fontId="4" fillId="0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color rgb="00375623"/>
      </font>
      <fill>
        <patternFill patternType="solid">
          <fgColor rgb="00C6EFCE"/>
          <bgColor rgb="00C6EF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SERVICENOW (NOW) — REVENUE BUILD &amp; SOFTWARE KPIs</t>
        </is>
      </c>
      <c r="D1" s="2" t="n"/>
    </row>
    <row r="2">
      <c r="A2" s="3" t="inlineStr">
        <is>
          <t>($ in millions, unless noted)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1" t="inlineStr">
        <is>
          <t>ANNUAL RECURRING REVENUE (ARR) BRIDGE</t>
        </is>
      </c>
      <c r="D4" s="2" t="n"/>
    </row>
    <row r="5">
      <c r="A5" s="6" t="inlineStr">
        <is>
          <t>Beginning ARR</t>
        </is>
      </c>
      <c r="B5" s="7" t="n">
        <v>5737</v>
      </c>
      <c r="C5" s="8">
        <f>B10</f>
        <v/>
      </c>
      <c r="D5" s="9">
        <f>C10</f>
        <v/>
      </c>
      <c r="E5" s="8">
        <f>D10</f>
        <v/>
      </c>
      <c r="F5" s="8">
        <f>E10</f>
        <v/>
      </c>
      <c r="G5" s="8">
        <f>F10</f>
        <v/>
      </c>
    </row>
    <row r="6">
      <c r="A6" s="6" t="inlineStr">
        <is>
          <t>+ New Logo ARR</t>
        </is>
      </c>
      <c r="B6" s="7" t="n">
        <v>200</v>
      </c>
      <c r="C6" s="7" t="n">
        <v>250</v>
      </c>
      <c r="D6" s="10" t="n">
        <v>300</v>
      </c>
      <c r="E6" s="11">
        <f>D6*(1+Assumptions!$B$34)</f>
        <v/>
      </c>
      <c r="F6" s="11">
        <f>E6*(1+Assumptions!$C$34)</f>
        <v/>
      </c>
      <c r="G6" s="11">
        <f>F6*(1+Assumptions!$D$34)</f>
        <v/>
      </c>
    </row>
    <row r="7">
      <c r="A7" s="6" t="inlineStr">
        <is>
          <t>+ Expansion ARR</t>
        </is>
      </c>
      <c r="B7" s="7" t="n">
        <v>1237</v>
      </c>
      <c r="C7" s="7" t="n">
        <v>1712</v>
      </c>
      <c r="D7" s="10" t="n">
        <v>1747</v>
      </c>
      <c r="E7" s="11">
        <f>E5*Assumptions!$B$35</f>
        <v/>
      </c>
      <c r="F7" s="11">
        <f>F5*Assumptions!$C$35</f>
        <v/>
      </c>
      <c r="G7" s="11">
        <f>G5*Assumptions!$D$35</f>
        <v/>
      </c>
    </row>
    <row r="8">
      <c r="A8" s="6" t="inlineStr">
        <is>
          <t>− Contraction ARR</t>
        </is>
      </c>
      <c r="B8" s="7" t="n">
        <v>-17</v>
      </c>
      <c r="C8" s="7" t="n">
        <v>-21</v>
      </c>
      <c r="D8" s="10" t="n">
        <v>-27</v>
      </c>
      <c r="E8" s="11">
        <f>-E5*Assumptions!$B$37</f>
        <v/>
      </c>
      <c r="F8" s="11">
        <f>-F5*Assumptions!$C$37</f>
        <v/>
      </c>
      <c r="G8" s="11">
        <f>-G5*Assumptions!$D$37</f>
        <v/>
      </c>
    </row>
    <row r="9">
      <c r="A9" s="6" t="inlineStr">
        <is>
          <t>− Churned ARR</t>
        </is>
      </c>
      <c r="B9" s="7" t="n">
        <v>-57</v>
      </c>
      <c r="C9" s="7" t="n">
        <v>-71</v>
      </c>
      <c r="D9" s="10" t="n">
        <v>-90</v>
      </c>
      <c r="E9" s="11">
        <f>-E5*(1-Assumptions!$B$36)</f>
        <v/>
      </c>
      <c r="F9" s="11">
        <f>-F5*(1-Assumptions!$C$36)</f>
        <v/>
      </c>
      <c r="G9" s="11">
        <f>-G5*(1-Assumptions!$D$36)</f>
        <v/>
      </c>
    </row>
    <row r="10">
      <c r="A10" s="12" t="inlineStr">
        <is>
          <t>Ending ARR</t>
        </is>
      </c>
      <c r="B10" s="13">
        <f>B5+B6+B7+B8+B9</f>
        <v/>
      </c>
      <c r="C10" s="13">
        <f>C5+C6+C7+C8+C9</f>
        <v/>
      </c>
      <c r="D10" s="14">
        <f>D5+D6+D7+D8+D9</f>
        <v/>
      </c>
      <c r="E10" s="13">
        <f>E5+E6+E7+E8+E9</f>
        <v/>
      </c>
      <c r="F10" s="13">
        <f>F5+F6+F7+F8+F9</f>
        <v/>
      </c>
      <c r="G10" s="13">
        <f>G5+G6+G7+G8+G9</f>
        <v/>
      </c>
    </row>
    <row r="11">
      <c r="A11" s="15" t="inlineStr">
        <is>
          <t>ARR Growth %</t>
        </is>
      </c>
      <c r="C11" s="16">
        <f>C10/B10-1</f>
        <v/>
      </c>
      <c r="D11" s="17">
        <f>D10/C10-1</f>
        <v/>
      </c>
      <c r="E11" s="16">
        <f>E10/D10-1</f>
        <v/>
      </c>
      <c r="F11" s="16">
        <f>F10/E10-1</f>
        <v/>
      </c>
      <c r="G11" s="16">
        <f>G10/F10-1</f>
        <v/>
      </c>
    </row>
    <row r="12">
      <c r="A12" s="15" t="inlineStr">
        <is>
          <t>Implied ARR per Customer ($K)</t>
        </is>
      </c>
      <c r="B12" s="18">
        <f>B10/B32*1000</f>
        <v/>
      </c>
      <c r="C12" s="18">
        <f>C10/C32*1000</f>
        <v/>
      </c>
      <c r="D12" s="19">
        <f>D10/D32*1000</f>
        <v/>
      </c>
      <c r="E12" s="18">
        <f>E10/E32*1000</f>
        <v/>
      </c>
      <c r="F12" s="18">
        <f>F10/F32*1000</f>
        <v/>
      </c>
      <c r="G12" s="18">
        <f>G10/G32*1000</f>
        <v/>
      </c>
    </row>
    <row r="13">
      <c r="D13" s="2" t="n"/>
    </row>
    <row r="14">
      <c r="A14" s="1" t="inlineStr">
        <is>
          <t>RETENTION METRICS</t>
        </is>
      </c>
      <c r="D14" s="2" t="n"/>
    </row>
    <row r="15">
      <c r="A15" s="6" t="inlineStr">
        <is>
          <t>Gross Revenue Retention (GRR) %</t>
        </is>
      </c>
      <c r="B15" s="20" t="n">
        <v>0.99</v>
      </c>
      <c r="C15" s="20" t="n">
        <v>0.99</v>
      </c>
      <c r="D15" s="21" t="n">
        <v>0.99</v>
      </c>
      <c r="E15" s="22">
        <f>Assumptions!$B$36</f>
        <v/>
      </c>
      <c r="F15" s="22">
        <f>Assumptions!$C$36</f>
        <v/>
      </c>
      <c r="G15" s="22">
        <f>Assumptions!$D$36</f>
        <v/>
      </c>
    </row>
    <row r="16">
      <c r="A16" s="6" t="inlineStr">
        <is>
          <t>Net Revenue Retention (NRR) %</t>
        </is>
      </c>
      <c r="B16" s="20" t="n">
        <v>1.27</v>
      </c>
      <c r="C16" s="20" t="n">
        <v>1.26</v>
      </c>
      <c r="D16" s="21" t="n">
        <v>1.25</v>
      </c>
      <c r="E16" s="22">
        <f>Assumptions!$B$41</f>
        <v/>
      </c>
      <c r="F16" s="22">
        <f>Assumptions!$C$41</f>
        <v/>
      </c>
      <c r="G16" s="22">
        <f>Assumptions!$D$41</f>
        <v/>
      </c>
    </row>
    <row r="17">
      <c r="A17" s="23" t="inlineStr">
        <is>
          <t>Gross Churn Rate %</t>
        </is>
      </c>
      <c r="B17" s="16">
        <f>1-B15</f>
        <v/>
      </c>
      <c r="C17" s="16">
        <f>1-C15</f>
        <v/>
      </c>
      <c r="D17" s="17">
        <f>1-D15</f>
        <v/>
      </c>
      <c r="E17" s="16">
        <f>1-E15</f>
        <v/>
      </c>
      <c r="F17" s="16">
        <f>1-F15</f>
        <v/>
      </c>
      <c r="G17" s="16">
        <f>1-G15</f>
        <v/>
      </c>
    </row>
    <row r="18">
      <c r="A18" s="23" t="inlineStr">
        <is>
          <t>Net Expansion Rate %</t>
        </is>
      </c>
      <c r="B18" s="16">
        <f>B16-B15</f>
        <v/>
      </c>
      <c r="C18" s="16">
        <f>C16-C15</f>
        <v/>
      </c>
      <c r="D18" s="17">
        <f>D16-D15</f>
        <v/>
      </c>
      <c r="E18" s="16">
        <f>E16-E15</f>
        <v/>
      </c>
      <c r="F18" s="16">
        <f>F16-F15</f>
        <v/>
      </c>
      <c r="G18" s="16">
        <f>G16-G15</f>
        <v/>
      </c>
    </row>
    <row r="19">
      <c r="A19" s="6" t="inlineStr">
        <is>
          <t>Logo Churn Rate %</t>
        </is>
      </c>
      <c r="B19" s="20" t="n">
        <v>0.03</v>
      </c>
      <c r="C19" s="20" t="n">
        <v>0.03</v>
      </c>
      <c r="D19" s="21" t="n">
        <v>0.03</v>
      </c>
      <c r="E19" s="22">
        <f>Assumptions!$B$42</f>
        <v/>
      </c>
      <c r="F19" s="22">
        <f>Assumptions!$C$42</f>
        <v/>
      </c>
      <c r="G19" s="22">
        <f>Assumptions!$D$42</f>
        <v/>
      </c>
    </row>
    <row r="20">
      <c r="D20" s="2" t="n"/>
    </row>
    <row r="21">
      <c r="A21" s="1" t="inlineStr">
        <is>
          <t>REMAINING PERFORMANCE OBLIGATIONS (RPO)</t>
        </is>
      </c>
      <c r="D21" s="2" t="n"/>
    </row>
    <row r="22">
      <c r="A22" s="6" t="inlineStr">
        <is>
          <t>Total RPO</t>
        </is>
      </c>
      <c r="B22" s="7" t="n">
        <v>13600</v>
      </c>
      <c r="C22" s="7" t="n">
        <v>17700</v>
      </c>
      <c r="D22" s="10" t="n">
        <v>21900</v>
      </c>
      <c r="E22" s="11">
        <f>D22*(1+Assumptions!$B$51)</f>
        <v/>
      </c>
      <c r="F22" s="11">
        <f>E22*(1+Assumptions!$C$51)</f>
        <v/>
      </c>
      <c r="G22" s="11">
        <f>F22*(1+Assumptions!$D$51)</f>
        <v/>
      </c>
    </row>
    <row r="23">
      <c r="A23" s="6" t="inlineStr">
        <is>
          <t>Current RPO (cRPO)</t>
        </is>
      </c>
      <c r="B23" s="7" t="n">
        <v>7000</v>
      </c>
      <c r="C23" s="7" t="n">
        <v>8300</v>
      </c>
      <c r="D23" s="10" t="n">
        <v>10300</v>
      </c>
      <c r="E23" s="11">
        <f>E22*Assumptions!$B$52</f>
        <v/>
      </c>
      <c r="F23" s="11">
        <f>F22*Assumptions!$C$52</f>
        <v/>
      </c>
      <c r="G23" s="11">
        <f>G22*Assumptions!$D$52</f>
        <v/>
      </c>
    </row>
    <row r="24">
      <c r="A24" s="23" t="inlineStr">
        <is>
          <t>Non-Current RPO</t>
        </is>
      </c>
      <c r="B24" s="24">
        <f>B22-B23</f>
        <v/>
      </c>
      <c r="C24" s="24">
        <f>C22-C23</f>
        <v/>
      </c>
      <c r="D24" s="25">
        <f>D22-D23</f>
        <v/>
      </c>
      <c r="E24" s="24">
        <f>E22-E23</f>
        <v/>
      </c>
      <c r="F24" s="24">
        <f>F22-F23</f>
        <v/>
      </c>
      <c r="G24" s="24">
        <f>G22-G23</f>
        <v/>
      </c>
    </row>
    <row r="25">
      <c r="A25" s="23" t="inlineStr">
        <is>
          <t>cRPO / Total RPO %</t>
        </is>
      </c>
      <c r="B25" s="16">
        <f>B23/B22</f>
        <v/>
      </c>
      <c r="C25" s="16">
        <f>C23/C22</f>
        <v/>
      </c>
      <c r="D25" s="17">
        <f>D23/D22</f>
        <v/>
      </c>
      <c r="E25" s="16">
        <f>E23/E22</f>
        <v/>
      </c>
      <c r="F25" s="16">
        <f>F23/F22</f>
        <v/>
      </c>
      <c r="G25" s="16">
        <f>G23/G22</f>
        <v/>
      </c>
    </row>
    <row r="26">
      <c r="A26" s="23" t="inlineStr">
        <is>
          <t>Total RPO Growth %</t>
        </is>
      </c>
      <c r="C26" s="16">
        <f>C22/B22-1</f>
        <v/>
      </c>
      <c r="D26" s="17">
        <f>D22/C22-1</f>
        <v/>
      </c>
      <c r="E26" s="16">
        <f>E22/D22-1</f>
        <v/>
      </c>
      <c r="F26" s="16">
        <f>F22/E22-1</f>
        <v/>
      </c>
      <c r="G26" s="16">
        <f>G22/F22-1</f>
        <v/>
      </c>
    </row>
    <row r="27">
      <c r="D27" s="2" t="n"/>
    </row>
    <row r="28">
      <c r="A28" s="1" t="inlineStr">
        <is>
          <t>CUSTOMER METRICS — BY ACV TIER</t>
        </is>
      </c>
      <c r="D28" s="2" t="n"/>
    </row>
    <row r="29">
      <c r="A29" s="6" t="inlineStr">
        <is>
          <t>Customers &gt; $1M ACV</t>
        </is>
      </c>
      <c r="B29" s="26" t="n">
        <v>1530</v>
      </c>
      <c r="C29" s="26" t="n">
        <v>1986</v>
      </c>
      <c r="D29" s="27" t="n">
        <v>2550</v>
      </c>
      <c r="E29" s="28">
        <f>D29*(1+Assumptions!$B$45)</f>
        <v/>
      </c>
      <c r="F29" s="28">
        <f>E29*(1+Assumptions!$C$45)</f>
        <v/>
      </c>
      <c r="G29" s="28">
        <f>F29*(1+Assumptions!$D$45)</f>
        <v/>
      </c>
    </row>
    <row r="30">
      <c r="A30" s="6" t="inlineStr">
        <is>
          <t>Customers &gt; $5M ACV</t>
        </is>
      </c>
      <c r="B30" s="26" t="n">
        <v>156</v>
      </c>
      <c r="C30" s="26" t="n">
        <v>197</v>
      </c>
      <c r="D30" s="27" t="n">
        <v>243</v>
      </c>
      <c r="E30" s="28">
        <f>D30*(1+Assumptions!$B$46)</f>
        <v/>
      </c>
      <c r="F30" s="28">
        <f>E30*(1+Assumptions!$C$46)</f>
        <v/>
      </c>
      <c r="G30" s="28">
        <f>F30*(1+Assumptions!$D$46)</f>
        <v/>
      </c>
    </row>
    <row r="31">
      <c r="A31" s="6" t="inlineStr">
        <is>
          <t>Customers &gt; $20M ACV</t>
        </is>
      </c>
      <c r="B31" s="26" t="n">
        <v>74</v>
      </c>
      <c r="C31" s="26" t="n">
        <v>92</v>
      </c>
      <c r="D31" s="27" t="n">
        <v>114</v>
      </c>
      <c r="E31" s="28">
        <f>D31*(1+Assumptions!$B$47)</f>
        <v/>
      </c>
      <c r="F31" s="28">
        <f>E31*(1+Assumptions!$C$47)</f>
        <v/>
      </c>
      <c r="G31" s="28">
        <f>F31*(1+Assumptions!$D$47)</f>
        <v/>
      </c>
    </row>
    <row r="32">
      <c r="A32" s="6" t="inlineStr">
        <is>
          <t>Total Enterprise Customers</t>
        </is>
      </c>
      <c r="B32" s="26" t="n">
        <v>7400</v>
      </c>
      <c r="C32" s="26" t="n">
        <v>8100</v>
      </c>
      <c r="D32" s="27" t="n">
        <v>8800</v>
      </c>
      <c r="E32" s="28">
        <f>D32*(1+Assumptions!$B$45*0.6)</f>
        <v/>
      </c>
      <c r="F32" s="28">
        <f>E32*(1+Assumptions!$C$45*0.6)</f>
        <v/>
      </c>
      <c r="G32" s="28">
        <f>F32*(1+Assumptions!$D$45*0.6)</f>
        <v/>
      </c>
    </row>
    <row r="33">
      <c r="A33" s="23" t="inlineStr">
        <is>
          <t>YoY Growth — Customers &gt;$1M</t>
        </is>
      </c>
      <c r="C33" s="16">
        <f>C29/B29-1</f>
        <v/>
      </c>
      <c r="D33" s="17">
        <f>D29/C29-1</f>
        <v/>
      </c>
      <c r="E33" s="16">
        <f>E29/D29-1</f>
        <v/>
      </c>
      <c r="F33" s="16">
        <f>F29/E29-1</f>
        <v/>
      </c>
      <c r="G33" s="16">
        <f>G29/F29-1</f>
        <v/>
      </c>
    </row>
    <row r="34">
      <c r="A34" s="23" t="inlineStr">
        <is>
          <t>YoY Growth — Customers &gt;$5M</t>
        </is>
      </c>
      <c r="C34" s="16">
        <f>C30/B30-1</f>
        <v/>
      </c>
      <c r="D34" s="17">
        <f>D30/C30-1</f>
        <v/>
      </c>
      <c r="E34" s="16">
        <f>E30/D30-1</f>
        <v/>
      </c>
      <c r="F34" s="16">
        <f>F30/E30-1</f>
        <v/>
      </c>
      <c r="G34" s="16">
        <f>G30/F30-1</f>
        <v/>
      </c>
    </row>
    <row r="35">
      <c r="D35" s="2" t="n"/>
    </row>
    <row r="36">
      <c r="A36" s="1" t="inlineStr">
        <is>
          <t>REVENUE METRICS</t>
        </is>
      </c>
      <c r="D36" s="2" t="n"/>
    </row>
    <row r="37">
      <c r="A37" s="12" t="inlineStr">
        <is>
          <t>Subscription Revenue</t>
        </is>
      </c>
      <c r="B37" s="7" t="n">
        <v>6894</v>
      </c>
      <c r="C37" s="7" t="n">
        <v>8396</v>
      </c>
      <c r="D37" s="10" t="n">
        <v>10402</v>
      </c>
      <c r="E37" s="8">
        <f>E46</f>
        <v/>
      </c>
      <c r="F37" s="8">
        <f>F46</f>
        <v/>
      </c>
      <c r="G37" s="8">
        <f>G46</f>
        <v/>
      </c>
    </row>
    <row r="38">
      <c r="A38" s="6" t="inlineStr">
        <is>
          <t>Professional Services Revenue</t>
        </is>
      </c>
      <c r="B38" s="7" t="n">
        <v>586</v>
      </c>
      <c r="C38" s="7" t="n">
        <v>537</v>
      </c>
      <c r="D38" s="10" t="n">
        <v>576</v>
      </c>
      <c r="E38" s="11">
        <f>E37*Assumptions!$B$55</f>
        <v/>
      </c>
      <c r="F38" s="11">
        <f>F37*Assumptions!$C$55</f>
        <v/>
      </c>
      <c r="G38" s="11">
        <f>G37*Assumptions!$D$55</f>
        <v/>
      </c>
    </row>
    <row r="39">
      <c r="A39" s="12" t="inlineStr">
        <is>
          <t>Total Revenue</t>
        </is>
      </c>
      <c r="B39" s="13">
        <f>B37+B38</f>
        <v/>
      </c>
      <c r="C39" s="13">
        <f>C37+C38</f>
        <v/>
      </c>
      <c r="D39" s="14">
        <f>D37+D38</f>
        <v/>
      </c>
      <c r="E39" s="13">
        <f>E37+E38</f>
        <v/>
      </c>
      <c r="F39" s="13">
        <f>F37+F38</f>
        <v/>
      </c>
      <c r="G39" s="13">
        <f>G37+G38</f>
        <v/>
      </c>
    </row>
    <row r="40">
      <c r="A40" s="15" t="inlineStr">
        <is>
          <t>Subscription Revenue Growth %</t>
        </is>
      </c>
      <c r="C40" s="16">
        <f>C37/B37-1</f>
        <v/>
      </c>
      <c r="D40" s="17">
        <f>D37/C37-1</f>
        <v/>
      </c>
      <c r="E40" s="16">
        <f>E37/D37-1</f>
        <v/>
      </c>
      <c r="F40" s="16">
        <f>F37/E37-1</f>
        <v/>
      </c>
      <c r="G40" s="16">
        <f>G37/F37-1</f>
        <v/>
      </c>
    </row>
    <row r="41">
      <c r="A41" s="15" t="inlineStr">
        <is>
          <t>Implied Billings</t>
        </is>
      </c>
      <c r="B41" s="24">
        <f>B10-B5+B37</f>
        <v/>
      </c>
      <c r="C41" s="24">
        <f>C10-C5+C37</f>
        <v/>
      </c>
      <c r="D41" s="25">
        <f>D10-D5+D37</f>
        <v/>
      </c>
      <c r="E41" s="24">
        <f>E10-E5+E37</f>
        <v/>
      </c>
      <c r="F41" s="24">
        <f>F10-F5+F37</f>
        <v/>
      </c>
      <c r="G41" s="24">
        <f>G10-G5+G37</f>
        <v/>
      </c>
    </row>
    <row r="42">
      <c r="D42" s="2" t="n"/>
    </row>
    <row r="43">
      <c r="A43" s="1" t="inlineStr">
        <is>
          <t>PRIMARY FORECAST METHODOLOGY: ARR Bridge</t>
        </is>
      </c>
      <c r="D43" s="2" t="n"/>
    </row>
    <row r="44">
      <c r="A44" s="15" t="inlineStr">
        <is>
          <t>Average ARR ((Beg + End) / 2)</t>
        </is>
      </c>
      <c r="B44" s="24">
        <f>(B5+B10)/2</f>
        <v/>
      </c>
      <c r="C44" s="24">
        <f>(C5+C10)/2</f>
        <v/>
      </c>
      <c r="D44" s="25">
        <f>(D5+D10)/2</f>
        <v/>
      </c>
      <c r="E44" s="24">
        <f>(E5+E10)/2</f>
        <v/>
      </c>
      <c r="F44" s="24">
        <f>(F5+F10)/2</f>
        <v/>
      </c>
      <c r="G44" s="24">
        <f>(G5+G10)/2</f>
        <v/>
      </c>
    </row>
    <row r="45">
      <c r="A45" s="6" t="inlineStr">
        <is>
          <t>Billing Timing Factor</t>
        </is>
      </c>
      <c r="B45" s="8">
        <f>B37/B44</f>
        <v/>
      </c>
      <c r="C45" s="8">
        <f>C37/C44</f>
        <v/>
      </c>
      <c r="D45" s="9">
        <f>D37/D44</f>
        <v/>
      </c>
      <c r="E45" s="11">
        <f>Assumptions!$B$38</f>
        <v/>
      </c>
      <c r="F45" s="11">
        <f>Assumptions!$C$38</f>
        <v/>
      </c>
      <c r="G45" s="11">
        <f>Assumptions!$D$38</f>
        <v/>
      </c>
    </row>
    <row r="46">
      <c r="A46" s="12" t="inlineStr">
        <is>
          <t>Projected Subscription Revenue</t>
        </is>
      </c>
      <c r="B46" s="13">
        <f>B44*B45</f>
        <v/>
      </c>
      <c r="C46" s="13">
        <f>C44*C45</f>
        <v/>
      </c>
      <c r="D46" s="14">
        <f>D44*D45</f>
        <v/>
      </c>
      <c r="E46" s="13">
        <f>E44*E45</f>
        <v/>
      </c>
      <c r="F46" s="13">
        <f>F44*F45</f>
        <v/>
      </c>
      <c r="G46" s="13">
        <f>G44*G45</f>
        <v/>
      </c>
    </row>
    <row r="47">
      <c r="D47" s="2" t="n"/>
    </row>
    <row r="48">
      <c r="A48" s="4" t="inlineStr">
        <is>
          <t>CROSS-CHECK A — NRR-Based Methodology</t>
        </is>
      </c>
      <c r="D48" s="2" t="n"/>
    </row>
    <row r="49">
      <c r="A49" s="15" t="inlineStr">
        <is>
          <t>Beginning ARR</t>
        </is>
      </c>
      <c r="B49" s="24">
        <f>B5</f>
        <v/>
      </c>
      <c r="C49" s="24">
        <f>C5</f>
        <v/>
      </c>
      <c r="D49" s="25">
        <f>D5</f>
        <v/>
      </c>
      <c r="E49" s="24">
        <f>E5</f>
        <v/>
      </c>
      <c r="F49" s="24">
        <f>F5</f>
        <v/>
      </c>
      <c r="G49" s="24">
        <f>G5</f>
        <v/>
      </c>
    </row>
    <row r="50">
      <c r="A50" s="15" t="inlineStr">
        <is>
          <t>Existing Customer ARR (Beg × NRR)</t>
        </is>
      </c>
      <c r="B50" s="24">
        <f>B5*B16</f>
        <v/>
      </c>
      <c r="C50" s="24">
        <f>C5*C16</f>
        <v/>
      </c>
      <c r="D50" s="25">
        <f>D5*D16</f>
        <v/>
      </c>
      <c r="E50" s="24">
        <f>E5*E16</f>
        <v/>
      </c>
      <c r="F50" s="24">
        <f>F5*F16</f>
        <v/>
      </c>
      <c r="G50" s="24">
        <f>G5*G16</f>
        <v/>
      </c>
    </row>
    <row r="51">
      <c r="A51" s="15" t="inlineStr">
        <is>
          <t>+ New Logo ARR</t>
        </is>
      </c>
      <c r="B51" s="24">
        <f>B6</f>
        <v/>
      </c>
      <c r="C51" s="24">
        <f>C6</f>
        <v/>
      </c>
      <c r="D51" s="25">
        <f>D6</f>
        <v/>
      </c>
      <c r="E51" s="24">
        <f>E6</f>
        <v/>
      </c>
      <c r="F51" s="24">
        <f>F6</f>
        <v/>
      </c>
      <c r="G51" s="24">
        <f>G6</f>
        <v/>
      </c>
    </row>
    <row r="52">
      <c r="A52" s="15" t="inlineStr">
        <is>
          <t>Ending ARR (NRR method)</t>
        </is>
      </c>
      <c r="B52" s="24">
        <f>B50+B51</f>
        <v/>
      </c>
      <c r="C52" s="24">
        <f>C50+C51</f>
        <v/>
      </c>
      <c r="D52" s="25">
        <f>D50+D51</f>
        <v/>
      </c>
      <c r="E52" s="24">
        <f>E50+E51</f>
        <v/>
      </c>
      <c r="F52" s="24">
        <f>F50+F51</f>
        <v/>
      </c>
      <c r="G52" s="24">
        <f>G50+G51</f>
        <v/>
      </c>
    </row>
    <row r="53">
      <c r="A53" s="15" t="inlineStr">
        <is>
          <t>Average ARR</t>
        </is>
      </c>
      <c r="B53" s="24">
        <f>(B5+B52)/2</f>
        <v/>
      </c>
      <c r="C53" s="24">
        <f>(C5+C52)/2</f>
        <v/>
      </c>
      <c r="D53" s="25">
        <f>(D5+D52)/2</f>
        <v/>
      </c>
      <c r="E53" s="24">
        <f>(E5+E52)/2</f>
        <v/>
      </c>
      <c r="F53" s="24">
        <f>(F5+F52)/2</f>
        <v/>
      </c>
      <c r="G53" s="24">
        <f>(G5+G52)/2</f>
        <v/>
      </c>
    </row>
    <row r="54">
      <c r="A54" s="29" t="inlineStr">
        <is>
          <t>Sub Revenue (NRR method)</t>
        </is>
      </c>
      <c r="B54" s="24">
        <f>B53*B45</f>
        <v/>
      </c>
      <c r="C54" s="24">
        <f>C53*C45</f>
        <v/>
      </c>
      <c r="D54" s="25">
        <f>D53*D45</f>
        <v/>
      </c>
      <c r="E54" s="24">
        <f>E53*E45</f>
        <v/>
      </c>
      <c r="F54" s="24">
        <f>F53*F45</f>
        <v/>
      </c>
      <c r="G54" s="24">
        <f>G53*G45</f>
        <v/>
      </c>
    </row>
    <row r="55">
      <c r="D55" s="2" t="n"/>
    </row>
    <row r="56">
      <c r="A56" s="4" t="inlineStr">
        <is>
          <t>CROSS-CHECK B — RPO-Anchored Methodology</t>
        </is>
      </c>
      <c r="D56" s="2" t="n"/>
    </row>
    <row r="57">
      <c r="A57" s="15" t="inlineStr">
        <is>
          <t>cRPO — prior year-end</t>
        </is>
      </c>
      <c r="B57" s="7" t="n">
        <v>5800</v>
      </c>
      <c r="C57" s="24">
        <f>B23</f>
        <v/>
      </c>
      <c r="D57" s="25">
        <f>C23</f>
        <v/>
      </c>
      <c r="E57" s="24">
        <f>D23</f>
        <v/>
      </c>
      <c r="F57" s="24">
        <f>E23</f>
        <v/>
      </c>
      <c r="G57" s="24">
        <f>F23</f>
        <v/>
      </c>
    </row>
    <row r="58">
      <c r="A58" s="6" t="inlineStr">
        <is>
          <t>Recognition Rate %</t>
        </is>
      </c>
      <c r="B58" s="30">
        <f>B37/B57</f>
        <v/>
      </c>
      <c r="C58" s="30">
        <f>C37/C57</f>
        <v/>
      </c>
      <c r="D58" s="31">
        <f>D37/D57</f>
        <v/>
      </c>
      <c r="E58" s="22">
        <f>Assumptions!$B$50</f>
        <v/>
      </c>
      <c r="F58" s="22">
        <f>Assumptions!$C$50</f>
        <v/>
      </c>
      <c r="G58" s="22">
        <f>Assumptions!$D$50</f>
        <v/>
      </c>
    </row>
    <row r="59">
      <c r="A59" s="29" t="inlineStr">
        <is>
          <t>Sub Revenue (RPO method)</t>
        </is>
      </c>
      <c r="B59" s="24">
        <f>B57*B58</f>
        <v/>
      </c>
      <c r="C59" s="24">
        <f>C57*C58</f>
        <v/>
      </c>
      <c r="D59" s="25">
        <f>D57*D58</f>
        <v/>
      </c>
      <c r="E59" s="24">
        <f>E57*E58</f>
        <v/>
      </c>
      <c r="F59" s="24">
        <f>F57*F58</f>
        <v/>
      </c>
      <c r="G59" s="24">
        <f>G57*G58</f>
        <v/>
      </c>
    </row>
    <row r="60">
      <c r="D60" s="2" t="n"/>
    </row>
    <row r="61">
      <c r="A61" s="4" t="inlineStr">
        <is>
          <t>METHODOLOGY COMPARISON</t>
        </is>
      </c>
      <c r="D61" s="2" t="n"/>
    </row>
    <row r="62">
      <c r="A62" s="6" t="inlineStr">
        <is>
          <t>Primary — ARR Bridge</t>
        </is>
      </c>
      <c r="B62" s="8">
        <f>B46</f>
        <v/>
      </c>
      <c r="C62" s="8">
        <f>C46</f>
        <v/>
      </c>
      <c r="D62" s="9">
        <f>D46</f>
        <v/>
      </c>
      <c r="E62" s="8">
        <f>E46</f>
        <v/>
      </c>
      <c r="F62" s="8">
        <f>F46</f>
        <v/>
      </c>
      <c r="G62" s="8">
        <f>G46</f>
        <v/>
      </c>
    </row>
    <row r="63">
      <c r="A63" s="6" t="inlineStr">
        <is>
          <t>Cross-Check A — NRR-Based</t>
        </is>
      </c>
      <c r="B63" s="8">
        <f>B54</f>
        <v/>
      </c>
      <c r="C63" s="8">
        <f>C54</f>
        <v/>
      </c>
      <c r="D63" s="9">
        <f>D54</f>
        <v/>
      </c>
      <c r="E63" s="8">
        <f>E54</f>
        <v/>
      </c>
      <c r="F63" s="8">
        <f>F54</f>
        <v/>
      </c>
      <c r="G63" s="8">
        <f>G54</f>
        <v/>
      </c>
    </row>
    <row r="64">
      <c r="A64" s="6" t="inlineStr">
        <is>
          <t>Cross-Check B — RPO-Anchored</t>
        </is>
      </c>
      <c r="B64" s="8">
        <f>B59</f>
        <v/>
      </c>
      <c r="C64" s="8">
        <f>C59</f>
        <v/>
      </c>
      <c r="D64" s="9">
        <f>D59</f>
        <v/>
      </c>
      <c r="E64" s="8">
        <f>E59</f>
        <v/>
      </c>
      <c r="F64" s="8">
        <f>F59</f>
        <v/>
      </c>
      <c r="G64" s="8">
        <f>G59</f>
        <v/>
      </c>
    </row>
    <row r="65">
      <c r="A65" s="23" t="inlineStr">
        <is>
          <t>NRR vs. Primary Δ %</t>
        </is>
      </c>
      <c r="B65" s="16">
        <f>B63/B62-1</f>
        <v/>
      </c>
      <c r="C65" s="16">
        <f>C63/C62-1</f>
        <v/>
      </c>
      <c r="D65" s="17">
        <f>D63/D62-1</f>
        <v/>
      </c>
      <c r="E65" s="16">
        <f>E63/E62-1</f>
        <v/>
      </c>
      <c r="F65" s="16">
        <f>F63/F62-1</f>
        <v/>
      </c>
      <c r="G65" s="16">
        <f>G63/G62-1</f>
        <v/>
      </c>
    </row>
    <row r="66">
      <c r="A66" s="23" t="inlineStr">
        <is>
          <t>RPO vs. Primary Δ %</t>
        </is>
      </c>
      <c r="B66" s="16">
        <f>B64/B62-1</f>
        <v/>
      </c>
      <c r="C66" s="16">
        <f>C64/C62-1</f>
        <v/>
      </c>
      <c r="D66" s="17">
        <f>D64/D62-1</f>
        <v/>
      </c>
      <c r="E66" s="16">
        <f>E64/E62-1</f>
        <v/>
      </c>
      <c r="F66" s="16">
        <f>F64/F62-1</f>
        <v/>
      </c>
      <c r="G66" s="16">
        <f>G64/G62-1</f>
        <v/>
      </c>
    </row>
    <row r="67">
      <c r="A67" s="23" t="inlineStr">
        <is>
          <t>NRR flag: |delta| &gt; 15%</t>
        </is>
      </c>
      <c r="B67" s="24">
        <f>IF(ABS(B65)&gt;0.15,"FLAG","OK")</f>
        <v/>
      </c>
      <c r="C67" s="24">
        <f>IF(ABS(C65)&gt;0.15,"FLAG","OK")</f>
        <v/>
      </c>
      <c r="D67" s="25">
        <f>IF(ABS(D65)&gt;0.15,"FLAG","OK")</f>
        <v/>
      </c>
      <c r="E67" s="24">
        <f>IF(ABS(E65)&gt;0.15,"FLAG","OK")</f>
        <v/>
      </c>
      <c r="F67" s="24">
        <f>IF(ABS(F65)&gt;0.15,"FLAG","OK")</f>
        <v/>
      </c>
      <c r="G67" s="24">
        <f>IF(ABS(G65)&gt;0.15,"FLAG","OK")</f>
        <v/>
      </c>
    </row>
    <row r="68">
      <c r="A68" s="23" t="inlineStr">
        <is>
          <t>RPO flag: |delta| &gt; 15%</t>
        </is>
      </c>
      <c r="B68" s="24">
        <f>IF(ABS(B66)&gt;0.15,"FLAG","OK")</f>
        <v/>
      </c>
      <c r="C68" s="24">
        <f>IF(ABS(C66)&gt;0.15,"FLAG","OK")</f>
        <v/>
      </c>
      <c r="D68" s="25">
        <f>IF(ABS(D66)&gt;0.15,"FLAG","OK")</f>
        <v/>
      </c>
      <c r="E68" s="24">
        <f>IF(ABS(E66)&gt;0.15,"FLAG","OK")</f>
        <v/>
      </c>
      <c r="F68" s="24">
        <f>IF(ABS(F66)&gt;0.15,"FLAG","OK")</f>
        <v/>
      </c>
      <c r="G68" s="24">
        <f>IF(ABS(G66)&gt;0.15,"FLAG","OK")</f>
        <v/>
      </c>
    </row>
    <row r="69">
      <c r="D69" s="2" t="n"/>
    </row>
    <row r="70">
      <c r="D70" s="2" t="n"/>
    </row>
  </sheetData>
  <mergeCells count="10">
    <mergeCell ref="A36:G36"/>
    <mergeCell ref="A14:G14"/>
    <mergeCell ref="A61:G61"/>
    <mergeCell ref="A1:G1"/>
    <mergeCell ref="A56:G56"/>
    <mergeCell ref="A21:G21"/>
    <mergeCell ref="A4:G4"/>
    <mergeCell ref="A48:G48"/>
    <mergeCell ref="A43:G43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G5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SERVICENOW (NOW) — INCOME STATEMENT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1" t="inlineStr">
        <is>
          <t>REVENUE</t>
        </is>
      </c>
      <c r="D4" s="2" t="n"/>
    </row>
    <row r="5">
      <c r="A5" s="6" t="inlineStr">
        <is>
          <t>Subscription Revenue</t>
        </is>
      </c>
      <c r="B5" s="7" t="n">
        <v>6894</v>
      </c>
      <c r="C5" s="7" t="n">
        <v>8396</v>
      </c>
      <c r="D5" s="10" t="n">
        <v>10402</v>
      </c>
      <c r="E5" s="11">
        <f>revenue_build!E37</f>
        <v/>
      </c>
      <c r="F5" s="11">
        <f>revenue_build!F37</f>
        <v/>
      </c>
      <c r="G5" s="11">
        <f>revenue_build!G37</f>
        <v/>
      </c>
    </row>
    <row r="6">
      <c r="A6" s="6" t="inlineStr">
        <is>
          <t>Professional Services Revenue</t>
        </is>
      </c>
      <c r="B6" s="7" t="n">
        <v>586</v>
      </c>
      <c r="C6" s="7" t="n">
        <v>537</v>
      </c>
      <c r="D6" s="10" t="n">
        <v>576</v>
      </c>
      <c r="E6" s="11">
        <f>revenue_build!E38</f>
        <v/>
      </c>
      <c r="F6" s="11">
        <f>revenue_build!F38</f>
        <v/>
      </c>
      <c r="G6" s="11">
        <f>revenue_build!G38</f>
        <v/>
      </c>
    </row>
    <row r="7">
      <c r="A7" s="12" t="inlineStr">
        <is>
          <t>Total Revenue</t>
        </is>
      </c>
      <c r="B7" s="13">
        <f>B5+B6</f>
        <v/>
      </c>
      <c r="C7" s="13">
        <f>C5+C6</f>
        <v/>
      </c>
      <c r="D7" s="14">
        <f>D5+D6</f>
        <v/>
      </c>
      <c r="E7" s="13">
        <f>E5+E6</f>
        <v/>
      </c>
      <c r="F7" s="13">
        <f>F5+F6</f>
        <v/>
      </c>
      <c r="G7" s="13">
        <f>G5+G6</f>
        <v/>
      </c>
    </row>
    <row r="8">
      <c r="A8" s="15" t="inlineStr">
        <is>
          <t>Revenue Growth %</t>
        </is>
      </c>
      <c r="C8" s="16">
        <f>C7/B7-1</f>
        <v/>
      </c>
      <c r="D8" s="17">
        <f>D7/C7-1</f>
        <v/>
      </c>
      <c r="E8" s="16">
        <f>E7/D7-1</f>
        <v/>
      </c>
      <c r="F8" s="16">
        <f>F7/E7-1</f>
        <v/>
      </c>
      <c r="G8" s="16">
        <f>G7/F7-1</f>
        <v/>
      </c>
    </row>
    <row r="9">
      <c r="D9" s="2" t="n"/>
    </row>
    <row r="10">
      <c r="A10" s="1" t="inlineStr">
        <is>
          <t>COST OF REVENUE</t>
        </is>
      </c>
      <c r="D10" s="2" t="n"/>
    </row>
    <row r="11">
      <c r="A11" s="6" t="inlineStr">
        <is>
          <t>Cost of Revenue — Subscription</t>
        </is>
      </c>
      <c r="B11" s="7" t="n">
        <v>1211</v>
      </c>
      <c r="C11" s="7" t="n">
        <v>1431</v>
      </c>
      <c r="D11" s="10" t="n">
        <v>1740</v>
      </c>
      <c r="E11" s="8">
        <f>E13*0.75</f>
        <v/>
      </c>
      <c r="F11" s="8">
        <f>F13*0.75</f>
        <v/>
      </c>
      <c r="G11" s="8">
        <f>G13*0.75</f>
        <v/>
      </c>
    </row>
    <row r="12">
      <c r="A12" s="6" t="inlineStr">
        <is>
          <t>Cost of Revenue — Professional Services</t>
        </is>
      </c>
      <c r="B12" s="7" t="n">
        <v>543</v>
      </c>
      <c r="C12" s="7" t="n">
        <v>513</v>
      </c>
      <c r="D12" s="10" t="n">
        <v>567</v>
      </c>
      <c r="E12" s="8">
        <f>E13*0.25</f>
        <v/>
      </c>
      <c r="F12" s="8">
        <f>F13*0.25</f>
        <v/>
      </c>
      <c r="G12" s="8">
        <f>G13*0.25</f>
        <v/>
      </c>
    </row>
    <row r="13">
      <c r="A13" s="12" t="inlineStr">
        <is>
          <t>Total Cost of Revenue</t>
        </is>
      </c>
      <c r="B13" s="13">
        <f>B11+B12</f>
        <v/>
      </c>
      <c r="C13" s="13">
        <f>C11+C12</f>
        <v/>
      </c>
      <c r="D13" s="14">
        <f>D11+D12</f>
        <v/>
      </c>
      <c r="E13" s="32">
        <f>E7*(1-Assumptions!$B$6)</f>
        <v/>
      </c>
      <c r="F13" s="32">
        <f>F7*(1-Assumptions!$C$6)</f>
        <v/>
      </c>
      <c r="G13" s="32">
        <f>G7*(1-Assumptions!$D$6)</f>
        <v/>
      </c>
    </row>
    <row r="14">
      <c r="A14" s="12" t="inlineStr">
        <is>
          <t>Gross Profit</t>
        </is>
      </c>
      <c r="B14" s="13">
        <f>B7-B13</f>
        <v/>
      </c>
      <c r="C14" s="13">
        <f>C7-C13</f>
        <v/>
      </c>
      <c r="D14" s="14">
        <f>D7-D13</f>
        <v/>
      </c>
      <c r="E14" s="13">
        <f>E7-E13</f>
        <v/>
      </c>
      <c r="F14" s="13">
        <f>F7-F13</f>
        <v/>
      </c>
      <c r="G14" s="13">
        <f>G7-G13</f>
        <v/>
      </c>
    </row>
    <row r="15">
      <c r="A15" s="15" t="inlineStr">
        <is>
          <t>Gross Margin %</t>
        </is>
      </c>
      <c r="B15" s="16">
        <f>B14/B7</f>
        <v/>
      </c>
      <c r="C15" s="16">
        <f>C14/C7</f>
        <v/>
      </c>
      <c r="D15" s="17">
        <f>D14/D7</f>
        <v/>
      </c>
      <c r="E15" s="16">
        <f>E14/E7</f>
        <v/>
      </c>
      <c r="F15" s="16">
        <f>F14/F7</f>
        <v/>
      </c>
      <c r="G15" s="16">
        <f>G14/G7</f>
        <v/>
      </c>
    </row>
    <row r="16">
      <c r="D16" s="2" t="n"/>
    </row>
    <row r="17">
      <c r="A17" s="1" t="inlineStr">
        <is>
          <t>OPERATING EXPENSES</t>
        </is>
      </c>
      <c r="D17" s="2" t="n"/>
    </row>
    <row r="18">
      <c r="A18" s="6" t="inlineStr">
        <is>
          <t>Research &amp; Development</t>
        </is>
      </c>
      <c r="B18" s="7" t="n">
        <v>1871</v>
      </c>
      <c r="C18" s="7" t="n">
        <v>2182</v>
      </c>
      <c r="D18" s="10" t="n">
        <v>2553</v>
      </c>
      <c r="E18" s="11">
        <f>E7*Assumptions!$B$7</f>
        <v/>
      </c>
      <c r="F18" s="11">
        <f>F7*Assumptions!$C$7</f>
        <v/>
      </c>
      <c r="G18" s="11">
        <f>G7*Assumptions!$D$7</f>
        <v/>
      </c>
    </row>
    <row r="19">
      <c r="A19" s="23" t="inlineStr">
        <is>
          <t>R&amp;D % Revenue</t>
        </is>
      </c>
      <c r="B19" s="16">
        <f>B18/B7</f>
        <v/>
      </c>
      <c r="C19" s="16">
        <f>C18/C7</f>
        <v/>
      </c>
      <c r="D19" s="17">
        <f>D18/D7</f>
        <v/>
      </c>
      <c r="E19" s="16">
        <f>E18/E7</f>
        <v/>
      </c>
      <c r="F19" s="16">
        <f>F18/F7</f>
        <v/>
      </c>
      <c r="G19" s="16">
        <f>G18/G7</f>
        <v/>
      </c>
    </row>
    <row r="20">
      <c r="A20" s="6" t="inlineStr">
        <is>
          <t>Sales &amp; Marketing</t>
        </is>
      </c>
      <c r="B20" s="7" t="n">
        <v>1859</v>
      </c>
      <c r="C20" s="7" t="n">
        <v>2159</v>
      </c>
      <c r="D20" s="10" t="n">
        <v>2530</v>
      </c>
      <c r="E20" s="11">
        <f>E7*Assumptions!$B$8</f>
        <v/>
      </c>
      <c r="F20" s="11">
        <f>F7*Assumptions!$C$8</f>
        <v/>
      </c>
      <c r="G20" s="11">
        <f>G7*Assumptions!$D$8</f>
        <v/>
      </c>
    </row>
    <row r="21">
      <c r="A21" s="23" t="inlineStr">
        <is>
          <t>S&amp;M % Revenue</t>
        </is>
      </c>
      <c r="B21" s="16">
        <f>B20/B7</f>
        <v/>
      </c>
      <c r="C21" s="16">
        <f>C20/C7</f>
        <v/>
      </c>
      <c r="D21" s="17">
        <f>D20/D7</f>
        <v/>
      </c>
      <c r="E21" s="16">
        <f>E20/E7</f>
        <v/>
      </c>
      <c r="F21" s="16">
        <f>F20/F7</f>
        <v/>
      </c>
      <c r="G21" s="16">
        <f>G20/G7</f>
        <v/>
      </c>
    </row>
    <row r="22">
      <c r="A22" s="6" t="inlineStr">
        <is>
          <t>General &amp; Administrative</t>
        </is>
      </c>
      <c r="B22" s="7" t="n">
        <v>498</v>
      </c>
      <c r="C22" s="7" t="n">
        <v>567</v>
      </c>
      <c r="D22" s="10" t="n">
        <v>666</v>
      </c>
      <c r="E22" s="11">
        <f>E7*Assumptions!$B$9</f>
        <v/>
      </c>
      <c r="F22" s="11">
        <f>F7*Assumptions!$C$9</f>
        <v/>
      </c>
      <c r="G22" s="11">
        <f>G7*Assumptions!$D$9</f>
        <v/>
      </c>
    </row>
    <row r="23">
      <c r="A23" s="23" t="inlineStr">
        <is>
          <t>G&amp;A % Revenue</t>
        </is>
      </c>
      <c r="B23" s="16">
        <f>B22/B7</f>
        <v/>
      </c>
      <c r="C23" s="16">
        <f>C22/C7</f>
        <v/>
      </c>
      <c r="D23" s="17">
        <f>D22/D7</f>
        <v/>
      </c>
      <c r="E23" s="16">
        <f>E22/E7</f>
        <v/>
      </c>
      <c r="F23" s="16">
        <f>F22/F7</f>
        <v/>
      </c>
      <c r="G23" s="16">
        <f>G22/G7</f>
        <v/>
      </c>
    </row>
    <row r="24">
      <c r="A24" s="12" t="inlineStr">
        <is>
          <t>Total Operating Expenses</t>
        </is>
      </c>
      <c r="B24" s="13">
        <f>B18+B20+B22</f>
        <v/>
      </c>
      <c r="C24" s="13">
        <f>C18+C20+C22</f>
        <v/>
      </c>
      <c r="D24" s="14">
        <f>D18+D20+D22</f>
        <v/>
      </c>
      <c r="E24" s="13">
        <f>E18+E20+E22</f>
        <v/>
      </c>
      <c r="F24" s="13">
        <f>F18+F20+F22</f>
        <v/>
      </c>
      <c r="G24" s="13">
        <f>G18+G20+G22</f>
        <v/>
      </c>
    </row>
    <row r="25">
      <c r="D25" s="2" t="n"/>
    </row>
    <row r="26">
      <c r="A26" s="12" t="inlineStr">
        <is>
          <t>Operating Income (EBIT)</t>
        </is>
      </c>
      <c r="B26" s="13">
        <f>B14-B24</f>
        <v/>
      </c>
      <c r="C26" s="13">
        <f>C14-C24</f>
        <v/>
      </c>
      <c r="D26" s="14">
        <f>D14-D24</f>
        <v/>
      </c>
      <c r="E26" s="13">
        <f>E14-E24</f>
        <v/>
      </c>
      <c r="F26" s="13">
        <f>F14-F24</f>
        <v/>
      </c>
      <c r="G26" s="13">
        <f>G14-G24</f>
        <v/>
      </c>
    </row>
    <row r="27">
      <c r="A27" s="15" t="inlineStr">
        <is>
          <t>EBIT Margin %</t>
        </is>
      </c>
      <c r="B27" s="16">
        <f>B26/B7</f>
        <v/>
      </c>
      <c r="C27" s="16">
        <f>C26/C7</f>
        <v/>
      </c>
      <c r="D27" s="17">
        <f>D26/D7</f>
        <v/>
      </c>
      <c r="E27" s="16">
        <f>E26/E7</f>
        <v/>
      </c>
      <c r="F27" s="16">
        <f>F26/F7</f>
        <v/>
      </c>
      <c r="G27" s="16">
        <f>G26/G7</f>
        <v/>
      </c>
    </row>
    <row r="28">
      <c r="D28" s="2" t="n"/>
    </row>
    <row r="29">
      <c r="A29" s="1" t="inlineStr">
        <is>
          <t>OTHER INCOME / EXPENSE</t>
        </is>
      </c>
      <c r="D29" s="2" t="n"/>
    </row>
    <row r="30">
      <c r="A30" s="6" t="inlineStr">
        <is>
          <t>Interest Income</t>
        </is>
      </c>
      <c r="B30" s="7" t="n">
        <v>93</v>
      </c>
      <c r="C30" s="7" t="n">
        <v>272</v>
      </c>
      <c r="D30" s="10" t="n">
        <v>478</v>
      </c>
      <c r="E30" s="7" t="n">
        <v>478</v>
      </c>
      <c r="F30" s="7" t="n">
        <v>478</v>
      </c>
      <c r="G30" s="7" t="n">
        <v>478</v>
      </c>
    </row>
    <row r="31">
      <c r="A31" s="6" t="inlineStr">
        <is>
          <t>Interest Expense</t>
        </is>
      </c>
      <c r="B31" s="7" t="n">
        <v>-58</v>
      </c>
      <c r="C31" s="7" t="n">
        <v>-63</v>
      </c>
      <c r="D31" s="10" t="n">
        <v>-69</v>
      </c>
      <c r="E31" s="11">
        <f>Debt!E14</f>
        <v/>
      </c>
      <c r="F31" s="11">
        <f>Debt!F14</f>
        <v/>
      </c>
      <c r="G31" s="11">
        <f>Debt!G14</f>
        <v/>
      </c>
    </row>
    <row r="32">
      <c r="A32" s="6" t="inlineStr">
        <is>
          <t>Other Income (Expense)</t>
        </is>
      </c>
      <c r="B32" s="7" t="n">
        <v>30</v>
      </c>
      <c r="C32" s="7" t="n">
        <v>-23</v>
      </c>
      <c r="D32" s="10" t="n">
        <v>-47</v>
      </c>
      <c r="E32" s="7" t="n">
        <v>0</v>
      </c>
      <c r="F32" s="7" t="n">
        <v>0</v>
      </c>
      <c r="G32" s="7" t="n">
        <v>0</v>
      </c>
    </row>
    <row r="33">
      <c r="A33" s="12" t="inlineStr">
        <is>
          <t>Total Other Income (Expense)</t>
        </is>
      </c>
      <c r="B33" s="13">
        <f>B30+B31+B32</f>
        <v/>
      </c>
      <c r="C33" s="13">
        <f>C30+C31+C32</f>
        <v/>
      </c>
      <c r="D33" s="14">
        <f>D30+D31+D32</f>
        <v/>
      </c>
      <c r="E33" s="13">
        <f>E30+E31+E32</f>
        <v/>
      </c>
      <c r="F33" s="13">
        <f>F30+F31+F32</f>
        <v/>
      </c>
      <c r="G33" s="13">
        <f>G30+G31+G32</f>
        <v/>
      </c>
    </row>
    <row r="34">
      <c r="D34" s="2" t="n"/>
    </row>
    <row r="35">
      <c r="A35" s="12" t="inlineStr">
        <is>
          <t>Pre-Tax Income</t>
        </is>
      </c>
      <c r="B35" s="13">
        <f>B26+B33</f>
        <v/>
      </c>
      <c r="C35" s="13">
        <f>C26+C33</f>
        <v/>
      </c>
      <c r="D35" s="14">
        <f>D26+D33</f>
        <v/>
      </c>
      <c r="E35" s="13">
        <f>E26+E33</f>
        <v/>
      </c>
      <c r="F35" s="13">
        <f>F26+F33</f>
        <v/>
      </c>
      <c r="G35" s="13">
        <f>G26+G33</f>
        <v/>
      </c>
    </row>
    <row r="36">
      <c r="A36" s="33" t="inlineStr"/>
      <c r="D36" s="2" t="n"/>
    </row>
    <row r="37">
      <c r="A37" s="6" t="inlineStr">
        <is>
          <t>Income Tax Provision</t>
        </is>
      </c>
      <c r="B37" s="7" t="n">
        <v>67</v>
      </c>
      <c r="C37" s="7" t="n">
        <v>216</v>
      </c>
      <c r="D37" s="10" t="n">
        <v>390</v>
      </c>
      <c r="E37" s="11">
        <f>E35*Assumptions!$B$10</f>
        <v/>
      </c>
      <c r="F37" s="11">
        <f>F35*Assumptions!$C$10</f>
        <v/>
      </c>
      <c r="G37" s="11">
        <f>G35*Assumptions!$D$10</f>
        <v/>
      </c>
    </row>
    <row r="38">
      <c r="A38" s="23" t="inlineStr">
        <is>
          <t>Effective Tax Rate %</t>
        </is>
      </c>
      <c r="B38" s="16">
        <f>B37/B35</f>
        <v/>
      </c>
      <c r="C38" s="16">
        <f>C37/C35</f>
        <v/>
      </c>
      <c r="D38" s="17">
        <f>D37/D35</f>
        <v/>
      </c>
      <c r="E38" s="16">
        <f>E37/E35</f>
        <v/>
      </c>
      <c r="F38" s="16">
        <f>F37/F35</f>
        <v/>
      </c>
      <c r="G38" s="16">
        <f>G37/G35</f>
        <v/>
      </c>
    </row>
    <row r="39">
      <c r="D39" s="2" t="n"/>
    </row>
    <row r="40">
      <c r="A40" s="12" t="inlineStr">
        <is>
          <t>Net Income</t>
        </is>
      </c>
      <c r="B40" s="34">
        <f>B35-B37</f>
        <v/>
      </c>
      <c r="C40" s="34">
        <f>C35-C37</f>
        <v/>
      </c>
      <c r="D40" s="35">
        <f>D35-D37</f>
        <v/>
      </c>
      <c r="E40" s="34">
        <f>E35-E37</f>
        <v/>
      </c>
      <c r="F40" s="34">
        <f>F35-F37</f>
        <v/>
      </c>
      <c r="G40" s="34">
        <f>G35-G37</f>
        <v/>
      </c>
    </row>
    <row r="41">
      <c r="A41" s="15" t="inlineStr">
        <is>
          <t>Net Income Margin %</t>
        </is>
      </c>
      <c r="B41" s="16">
        <f>B40/B7</f>
        <v/>
      </c>
      <c r="C41" s="16">
        <f>C40/C7</f>
        <v/>
      </c>
      <c r="D41" s="17">
        <f>D40/D7</f>
        <v/>
      </c>
      <c r="E41" s="16">
        <f>E40/E7</f>
        <v/>
      </c>
      <c r="F41" s="16">
        <f>F40/F7</f>
        <v/>
      </c>
      <c r="G41" s="16">
        <f>G40/G7</f>
        <v/>
      </c>
    </row>
    <row r="42">
      <c r="D42" s="2" t="n"/>
    </row>
    <row r="43">
      <c r="A43" s="4" t="inlineStr">
        <is>
          <t>MEMO ITEMS</t>
        </is>
      </c>
      <c r="D43" s="2" t="n"/>
    </row>
    <row r="44">
      <c r="A44" s="6" t="inlineStr">
        <is>
          <t>Depreciation &amp; Amortization</t>
        </is>
      </c>
      <c r="B44" s="7" t="n">
        <v>513</v>
      </c>
      <c r="C44" s="7" t="n">
        <v>613</v>
      </c>
      <c r="D44" s="10" t="n">
        <v>750</v>
      </c>
      <c r="E44" s="11">
        <f>E7*Assumptions!$B$11</f>
        <v/>
      </c>
      <c r="F44" s="11">
        <f>F7*Assumptions!$C$11</f>
        <v/>
      </c>
      <c r="G44" s="11">
        <f>G7*Assumptions!$D$11</f>
        <v/>
      </c>
    </row>
    <row r="45">
      <c r="A45" s="23" t="inlineStr">
        <is>
          <t>D&amp;A % Revenue</t>
        </is>
      </c>
      <c r="B45" s="16">
        <f>B44/B7</f>
        <v/>
      </c>
      <c r="C45" s="16">
        <f>C44/C7</f>
        <v/>
      </c>
      <c r="D45" s="17">
        <f>D44/D7</f>
        <v/>
      </c>
      <c r="E45" s="16">
        <f>E44/E7</f>
        <v/>
      </c>
      <c r="F45" s="16">
        <f>F44/F7</f>
        <v/>
      </c>
      <c r="G45" s="16">
        <f>G44/G7</f>
        <v/>
      </c>
    </row>
    <row r="46">
      <c r="A46" s="6" t="inlineStr">
        <is>
          <t>Stock-Based Compensation</t>
        </is>
      </c>
      <c r="B46" s="7" t="n">
        <v>1100</v>
      </c>
      <c r="C46" s="7" t="n">
        <v>1284</v>
      </c>
      <c r="D46" s="10" t="n">
        <v>1518</v>
      </c>
      <c r="E46" s="11">
        <f>E7*Assumptions!$B$12</f>
        <v/>
      </c>
      <c r="F46" s="11">
        <f>F7*Assumptions!$C$12</f>
        <v/>
      </c>
      <c r="G46" s="11">
        <f>G7*Assumptions!$D$12</f>
        <v/>
      </c>
    </row>
    <row r="47">
      <c r="A47" s="23" t="inlineStr">
        <is>
          <t>SBC % Revenue</t>
        </is>
      </c>
      <c r="B47" s="16">
        <f>B46/B7</f>
        <v/>
      </c>
      <c r="C47" s="16">
        <f>C46/C7</f>
        <v/>
      </c>
      <c r="D47" s="17">
        <f>D46/D7</f>
        <v/>
      </c>
      <c r="E47" s="16">
        <f>E46/E7</f>
        <v/>
      </c>
      <c r="F47" s="16">
        <f>F46/F7</f>
        <v/>
      </c>
      <c r="G47" s="16">
        <f>G46/G7</f>
        <v/>
      </c>
    </row>
    <row r="48">
      <c r="D48" s="2" t="n"/>
    </row>
    <row r="49">
      <c r="A49" s="12" t="inlineStr">
        <is>
          <t>EBITDA</t>
        </is>
      </c>
      <c r="B49" s="13">
        <f>B26+B44</f>
        <v/>
      </c>
      <c r="C49" s="13">
        <f>C26+C44</f>
        <v/>
      </c>
      <c r="D49" s="14">
        <f>D26+D44</f>
        <v/>
      </c>
      <c r="E49" s="13">
        <f>E26+E44</f>
        <v/>
      </c>
      <c r="F49" s="13">
        <f>F26+F44</f>
        <v/>
      </c>
      <c r="G49" s="13">
        <f>G26+G44</f>
        <v/>
      </c>
    </row>
    <row r="50">
      <c r="A50" s="15" t="inlineStr">
        <is>
          <t>EBITDA Margin %</t>
        </is>
      </c>
      <c r="B50" s="16">
        <f>B49/B7</f>
        <v/>
      </c>
      <c r="C50" s="16">
        <f>C49/C7</f>
        <v/>
      </c>
      <c r="D50" s="17">
        <f>D49/D7</f>
        <v/>
      </c>
      <c r="E50" s="16">
        <f>E49/E7</f>
        <v/>
      </c>
      <c r="F50" s="16">
        <f>F49/F7</f>
        <v/>
      </c>
      <c r="G50" s="16">
        <f>G49/G7</f>
        <v/>
      </c>
    </row>
    <row r="51">
      <c r="D51" s="2" t="n"/>
    </row>
    <row r="52">
      <c r="D52" s="2" t="n"/>
    </row>
  </sheetData>
  <mergeCells count="6">
    <mergeCell ref="A1:G1"/>
    <mergeCell ref="A17:G17"/>
    <mergeCell ref="A4:G4"/>
    <mergeCell ref="A29:G29"/>
    <mergeCell ref="A43:G43"/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G4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SERVICENOW (NOW) — BALANCE SHEET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1" t="inlineStr">
        <is>
          <t>ASSETS</t>
        </is>
      </c>
      <c r="D4" s="2" t="n"/>
    </row>
    <row r="5">
      <c r="A5" s="4" t="inlineStr">
        <is>
          <t>CURRENT ASSETS</t>
        </is>
      </c>
      <c r="D5" s="2" t="n"/>
    </row>
    <row r="6">
      <c r="A6" s="6" t="inlineStr">
        <is>
          <t>Cash &amp; Cash Equivalents</t>
        </is>
      </c>
      <c r="B6" s="7" t="n">
        <v>1488</v>
      </c>
      <c r="C6" s="7" t="n">
        <v>1946</v>
      </c>
      <c r="D6" s="10" t="n">
        <v>3000</v>
      </c>
      <c r="E6" s="11">
        <f>CF!E30</f>
        <v/>
      </c>
      <c r="F6" s="11">
        <f>CF!F30</f>
        <v/>
      </c>
      <c r="G6" s="11">
        <f>CF!G30</f>
        <v/>
      </c>
    </row>
    <row r="7">
      <c r="A7" s="6" t="inlineStr">
        <is>
          <t>Short-Term Investments</t>
        </is>
      </c>
      <c r="B7" s="7" t="n">
        <v>2012</v>
      </c>
      <c r="C7" s="7" t="n">
        <v>2634</v>
      </c>
      <c r="D7" s="10" t="n">
        <v>2900</v>
      </c>
      <c r="E7" s="8">
        <f>D7*(1+Assumptions!$B$5*0.5)</f>
        <v/>
      </c>
      <c r="F7" s="8">
        <f>E7*(1+Assumptions!$C$5*0.5)</f>
        <v/>
      </c>
      <c r="G7" s="8">
        <f>F7*(1+Assumptions!$D$5*0.5)</f>
        <v/>
      </c>
    </row>
    <row r="8">
      <c r="A8" s="6" t="inlineStr">
        <is>
          <t>Accounts Receivable, net</t>
        </is>
      </c>
      <c r="B8" s="7" t="n">
        <v>1474</v>
      </c>
      <c r="C8" s="7" t="n">
        <v>1852</v>
      </c>
      <c r="D8" s="10" t="n">
        <v>2290</v>
      </c>
      <c r="E8" s="11">
        <f>WC!E8</f>
        <v/>
      </c>
      <c r="F8" s="11">
        <f>WC!F8</f>
        <v/>
      </c>
      <c r="G8" s="11">
        <f>WC!G8</f>
        <v/>
      </c>
    </row>
    <row r="9">
      <c r="A9" s="6" t="inlineStr">
        <is>
          <t>Deferred Commissions (ST)</t>
        </is>
      </c>
      <c r="B9" s="7" t="n">
        <v>385</v>
      </c>
      <c r="C9" s="7" t="n">
        <v>432</v>
      </c>
      <c r="D9" s="10" t="n">
        <v>510</v>
      </c>
      <c r="E9" s="8">
        <f>E8*(510/2290)</f>
        <v/>
      </c>
      <c r="F9" s="8">
        <f>F8*(510/2290)</f>
        <v/>
      </c>
      <c r="G9" s="8">
        <f>G8*(510/2290)</f>
        <v/>
      </c>
    </row>
    <row r="10">
      <c r="A10" s="6" t="inlineStr">
        <is>
          <t>Prepaid &amp; Other Current Assets</t>
        </is>
      </c>
      <c r="B10" s="7" t="n">
        <v>432</v>
      </c>
      <c r="C10" s="7" t="n">
        <v>498</v>
      </c>
      <c r="D10" s="10" t="n">
        <v>580</v>
      </c>
      <c r="E10" s="8">
        <f>D10*1.10</f>
        <v/>
      </c>
      <c r="F10" s="8">
        <f>E10*1.10</f>
        <v/>
      </c>
      <c r="G10" s="8">
        <f>F10*1.10</f>
        <v/>
      </c>
    </row>
    <row r="11">
      <c r="A11" s="12" t="inlineStr">
        <is>
          <t>Total Current Assets</t>
        </is>
      </c>
      <c r="B11" s="13">
        <f>SUM(B6:B10)</f>
        <v/>
      </c>
      <c r="C11" s="13">
        <f>SUM(C6:C10)</f>
        <v/>
      </c>
      <c r="D11" s="14">
        <f>SUM(D6:D10)</f>
        <v/>
      </c>
      <c r="E11" s="13">
        <f>SUM(E6:E10)</f>
        <v/>
      </c>
      <c r="F11" s="13">
        <f>SUM(F6:F10)</f>
        <v/>
      </c>
      <c r="G11" s="13">
        <f>SUM(G6:G10)</f>
        <v/>
      </c>
    </row>
    <row r="12">
      <c r="D12" s="2" t="n"/>
    </row>
    <row r="13">
      <c r="A13" s="4" t="inlineStr">
        <is>
          <t>NON-CURRENT ASSETS</t>
        </is>
      </c>
      <c r="D13" s="2" t="n"/>
    </row>
    <row r="14">
      <c r="A14" s="6" t="inlineStr">
        <is>
          <t>PP&amp;E, net</t>
        </is>
      </c>
      <c r="B14" s="7" t="n">
        <v>1032</v>
      </c>
      <c r="C14" s="7" t="n">
        <v>1212</v>
      </c>
      <c r="D14" s="10" t="n">
        <v>1450</v>
      </c>
      <c r="E14" s="11">
        <f>DA!E13</f>
        <v/>
      </c>
      <c r="F14" s="11">
        <f>DA!F13</f>
        <v/>
      </c>
      <c r="G14" s="11">
        <f>DA!G13</f>
        <v/>
      </c>
    </row>
    <row r="15">
      <c r="A15" s="6" t="inlineStr">
        <is>
          <t>Operating Lease ROU Assets</t>
        </is>
      </c>
      <c r="B15" s="7" t="n">
        <v>810</v>
      </c>
      <c r="C15" s="7" t="n">
        <v>789</v>
      </c>
      <c r="D15" s="10" t="n">
        <v>760</v>
      </c>
      <c r="E15" s="8">
        <f>D15*0.97</f>
        <v/>
      </c>
      <c r="F15" s="8">
        <f>E15*0.97</f>
        <v/>
      </c>
      <c r="G15" s="8">
        <f>F15*0.97</f>
        <v/>
      </c>
    </row>
    <row r="16">
      <c r="A16" s="6" t="inlineStr">
        <is>
          <t>Deferred Commissions (LT)</t>
        </is>
      </c>
      <c r="B16" s="7" t="n">
        <v>890</v>
      </c>
      <c r="C16" s="7" t="n">
        <v>1024</v>
      </c>
      <c r="D16" s="10" t="n">
        <v>1210</v>
      </c>
      <c r="E16" s="8">
        <f>E8*(1210/2290)</f>
        <v/>
      </c>
      <c r="F16" s="8">
        <f>F8*(1210/2290)</f>
        <v/>
      </c>
      <c r="G16" s="8">
        <f>G8*(1210/2290)</f>
        <v/>
      </c>
    </row>
    <row r="17">
      <c r="A17" s="6" t="inlineStr">
        <is>
          <t>Intangibles &amp; Goodwill</t>
        </is>
      </c>
      <c r="B17" s="7" t="n">
        <v>2810</v>
      </c>
      <c r="C17" s="7" t="n">
        <v>3050</v>
      </c>
      <c r="D17" s="10" t="n">
        <v>3200</v>
      </c>
      <c r="E17" s="8">
        <f>D17-Assumptions!$B$24</f>
        <v/>
      </c>
      <c r="F17" s="8">
        <f>E17-Assumptions!$C$24</f>
        <v/>
      </c>
      <c r="G17" s="8">
        <f>F17-Assumptions!$D$24</f>
        <v/>
      </c>
    </row>
    <row r="18">
      <c r="A18" s="6" t="inlineStr">
        <is>
          <t>Other Long-Term Assets</t>
        </is>
      </c>
      <c r="B18" s="7" t="n">
        <v>560</v>
      </c>
      <c r="C18" s="7" t="n">
        <v>680</v>
      </c>
      <c r="D18" s="10" t="n">
        <v>750</v>
      </c>
      <c r="E18" s="8">
        <f>D18*1.05</f>
        <v/>
      </c>
      <c r="F18" s="8">
        <f>E18*1.05</f>
        <v/>
      </c>
      <c r="G18" s="8">
        <f>F18*1.05</f>
        <v/>
      </c>
    </row>
    <row r="19">
      <c r="A19" s="12" t="inlineStr">
        <is>
          <t>Total Non-Current Assets</t>
        </is>
      </c>
      <c r="B19" s="13">
        <f>SUM(B14:B18)</f>
        <v/>
      </c>
      <c r="C19" s="13">
        <f>SUM(C14:C18)</f>
        <v/>
      </c>
      <c r="D19" s="14">
        <f>SUM(D14:D18)</f>
        <v/>
      </c>
      <c r="E19" s="13">
        <f>SUM(E14:E18)</f>
        <v/>
      </c>
      <c r="F19" s="13">
        <f>SUM(F14:F18)</f>
        <v/>
      </c>
      <c r="G19" s="13">
        <f>SUM(G14:G18)</f>
        <v/>
      </c>
    </row>
    <row r="20">
      <c r="A20" s="12" t="inlineStr">
        <is>
          <t>TOTAL ASSETS</t>
        </is>
      </c>
      <c r="B20" s="34">
        <f>B11+B19</f>
        <v/>
      </c>
      <c r="C20" s="34">
        <f>C11+C19</f>
        <v/>
      </c>
      <c r="D20" s="35">
        <f>D11+D19</f>
        <v/>
      </c>
      <c r="E20" s="34">
        <f>E11+E19</f>
        <v/>
      </c>
      <c r="F20" s="34">
        <f>F11+F19</f>
        <v/>
      </c>
      <c r="G20" s="34">
        <f>G11+G19</f>
        <v/>
      </c>
    </row>
    <row r="21">
      <c r="D21" s="2" t="n"/>
    </row>
    <row r="22">
      <c r="A22" s="1" t="inlineStr">
        <is>
          <t>LIABILITIES</t>
        </is>
      </c>
      <c r="D22" s="2" t="n"/>
    </row>
    <row r="23">
      <c r="A23" s="4" t="inlineStr">
        <is>
          <t>CURRENT LIABILITIES</t>
        </is>
      </c>
      <c r="D23" s="2" t="n"/>
    </row>
    <row r="24">
      <c r="A24" s="6" t="inlineStr">
        <is>
          <t>Accounts Payable</t>
        </is>
      </c>
      <c r="B24" s="7" t="n">
        <v>156</v>
      </c>
      <c r="C24" s="7" t="n">
        <v>187</v>
      </c>
      <c r="D24" s="10" t="n">
        <v>220</v>
      </c>
      <c r="E24" s="11">
        <f>WC!E15</f>
        <v/>
      </c>
      <c r="F24" s="11">
        <f>WC!F15</f>
        <v/>
      </c>
      <c r="G24" s="11">
        <f>WC!G15</f>
        <v/>
      </c>
    </row>
    <row r="25">
      <c r="A25" s="6" t="inlineStr">
        <is>
          <t>Accrued Expenses</t>
        </is>
      </c>
      <c r="B25" s="7" t="n">
        <v>980</v>
      </c>
      <c r="C25" s="7" t="n">
        <v>1150</v>
      </c>
      <c r="D25" s="10" t="n">
        <v>1380</v>
      </c>
      <c r="E25" s="8">
        <f>IS!E7*0.115</f>
        <v/>
      </c>
      <c r="F25" s="8">
        <f>IS!F7*0.115</f>
        <v/>
      </c>
      <c r="G25" s="8">
        <f>IS!G7*0.115</f>
        <v/>
      </c>
    </row>
    <row r="26">
      <c r="A26" s="6" t="inlineStr">
        <is>
          <t>Deferred Revenue (ST)</t>
        </is>
      </c>
      <c r="B26" s="7" t="n">
        <v>4073</v>
      </c>
      <c r="C26" s="7" t="n">
        <v>4851</v>
      </c>
      <c r="D26" s="10" t="n">
        <v>5810</v>
      </c>
      <c r="E26" s="8">
        <f>D26*(1+Assumptions!$B$5*0.95)</f>
        <v/>
      </c>
      <c r="F26" s="8">
        <f>E26*(1+Assumptions!$C$5*0.95)</f>
        <v/>
      </c>
      <c r="G26" s="8">
        <f>F26*(1+Assumptions!$D$5*0.95)</f>
        <v/>
      </c>
    </row>
    <row r="27">
      <c r="A27" s="6" t="inlineStr">
        <is>
          <t>Current Portion of Long-Term Debt</t>
        </is>
      </c>
      <c r="B27" s="7" t="n">
        <v>1500</v>
      </c>
      <c r="C27" s="7" t="n">
        <v>0</v>
      </c>
      <c r="D27" s="10" t="n">
        <v>0</v>
      </c>
      <c r="E27" s="11">
        <f>Debt!E10</f>
        <v/>
      </c>
      <c r="F27" s="11">
        <f>Debt!F10</f>
        <v/>
      </c>
      <c r="G27" s="11">
        <f>Debt!G10</f>
        <v/>
      </c>
    </row>
    <row r="28">
      <c r="A28" s="12" t="inlineStr">
        <is>
          <t>Total Current Liabilities</t>
        </is>
      </c>
      <c r="B28" s="13">
        <f>SUM(B24:B27)</f>
        <v/>
      </c>
      <c r="C28" s="13">
        <f>SUM(C24:C27)</f>
        <v/>
      </c>
      <c r="D28" s="14">
        <f>SUM(D24:D27)</f>
        <v/>
      </c>
      <c r="E28" s="13">
        <f>SUM(E24:E27)</f>
        <v/>
      </c>
      <c r="F28" s="13">
        <f>SUM(F24:F27)</f>
        <v/>
      </c>
      <c r="G28" s="13">
        <f>SUM(G24:G27)</f>
        <v/>
      </c>
    </row>
    <row r="29">
      <c r="D29" s="2" t="n"/>
    </row>
    <row r="30">
      <c r="A30" s="4" t="inlineStr">
        <is>
          <t>LONG-TERM LIABILITIES</t>
        </is>
      </c>
      <c r="D30" s="2" t="n"/>
    </row>
    <row r="31">
      <c r="A31" s="6" t="inlineStr">
        <is>
          <t>Deferred Revenue (LT)</t>
        </is>
      </c>
      <c r="B31" s="7" t="n">
        <v>180</v>
      </c>
      <c r="C31" s="7" t="n">
        <v>212</v>
      </c>
      <c r="D31" s="10" t="n">
        <v>255</v>
      </c>
      <c r="E31" s="8">
        <f>D31*1.10</f>
        <v/>
      </c>
      <c r="F31" s="8">
        <f>E31*1.10</f>
        <v/>
      </c>
      <c r="G31" s="8">
        <f>F31*1.10</f>
        <v/>
      </c>
    </row>
    <row r="32">
      <c r="A32" s="6" t="inlineStr">
        <is>
          <t>Long-Term Debt</t>
        </is>
      </c>
      <c r="B32" s="7" t="n">
        <v>1489</v>
      </c>
      <c r="C32" s="7" t="n">
        <v>1490</v>
      </c>
      <c r="D32" s="10" t="n">
        <v>1490</v>
      </c>
      <c r="E32" s="11">
        <f>Debt!E11</f>
        <v/>
      </c>
      <c r="F32" s="11">
        <f>Debt!F11</f>
        <v/>
      </c>
      <c r="G32" s="11">
        <f>Debt!G11</f>
        <v/>
      </c>
    </row>
    <row r="33">
      <c r="A33" s="6" t="inlineStr">
        <is>
          <t>Operating Lease Liabilities (LT)</t>
        </is>
      </c>
      <c r="B33" s="7" t="n">
        <v>791</v>
      </c>
      <c r="C33" s="7" t="n">
        <v>766</v>
      </c>
      <c r="D33" s="10" t="n">
        <v>740</v>
      </c>
      <c r="E33" s="8">
        <f>D33*0.97</f>
        <v/>
      </c>
      <c r="F33" s="8">
        <f>E33*0.97</f>
        <v/>
      </c>
      <c r="G33" s="8">
        <f>F33*0.97</f>
        <v/>
      </c>
    </row>
    <row r="34">
      <c r="A34" s="6" t="inlineStr">
        <is>
          <t>Other Long-Term Liabilities</t>
        </is>
      </c>
      <c r="B34" s="7" t="n">
        <v>210</v>
      </c>
      <c r="C34" s="7" t="n">
        <v>287</v>
      </c>
      <c r="D34" s="10" t="n">
        <v>350</v>
      </c>
      <c r="E34" s="8">
        <f>D34*1.08</f>
        <v/>
      </c>
      <c r="F34" s="8">
        <f>E34*1.08</f>
        <v/>
      </c>
      <c r="G34" s="8">
        <f>F34*1.08</f>
        <v/>
      </c>
    </row>
    <row r="35">
      <c r="A35" s="12" t="inlineStr">
        <is>
          <t>Total Long-Term Liabilities</t>
        </is>
      </c>
      <c r="B35" s="13">
        <f>SUM(B31:B34)</f>
        <v/>
      </c>
      <c r="C35" s="13">
        <f>SUM(C31:C34)</f>
        <v/>
      </c>
      <c r="D35" s="14">
        <f>SUM(D31:D34)</f>
        <v/>
      </c>
      <c r="E35" s="13">
        <f>SUM(E31:E34)</f>
        <v/>
      </c>
      <c r="F35" s="13">
        <f>SUM(F31:F34)</f>
        <v/>
      </c>
      <c r="G35" s="13">
        <f>SUM(G31:G34)</f>
        <v/>
      </c>
    </row>
    <row r="36">
      <c r="A36" s="12" t="inlineStr">
        <is>
          <t>Total Liabilities</t>
        </is>
      </c>
      <c r="B36" s="13">
        <f>B28+B35</f>
        <v/>
      </c>
      <c r="C36" s="13">
        <f>C28+C35</f>
        <v/>
      </c>
      <c r="D36" s="14">
        <f>D28+D35</f>
        <v/>
      </c>
      <c r="E36" s="13">
        <f>E28+E35</f>
        <v/>
      </c>
      <c r="F36" s="13">
        <f>F28+F35</f>
        <v/>
      </c>
      <c r="G36" s="13">
        <f>G28+G35</f>
        <v/>
      </c>
    </row>
    <row r="37">
      <c r="D37" s="2" t="n"/>
    </row>
    <row r="38">
      <c r="A38" s="1" t="inlineStr">
        <is>
          <t>STOCKHOLDERS' EQUITY</t>
        </is>
      </c>
      <c r="D38" s="2" t="n"/>
    </row>
    <row r="39">
      <c r="A39" s="6" t="inlineStr">
        <is>
          <t>Common Stock &amp; Additional Paid-In Capital</t>
        </is>
      </c>
      <c r="B39" s="7" t="n">
        <v>8800</v>
      </c>
      <c r="C39" s="7" t="n">
        <v>10350</v>
      </c>
      <c r="D39" s="10" t="n">
        <v>12100</v>
      </c>
      <c r="E39" s="8">
        <f>D39+IS!E46+Assumptions!$B$23</f>
        <v/>
      </c>
      <c r="F39" s="8">
        <f>E39+IS!F46+Assumptions!$C$23</f>
        <v/>
      </c>
      <c r="G39" s="8">
        <f>F39+IS!G46+Assumptions!$D$23</f>
        <v/>
      </c>
    </row>
    <row r="40">
      <c r="A40" s="6" t="inlineStr">
        <is>
          <t>Retained Earnings (Deficit)</t>
        </is>
      </c>
      <c r="B40" s="7" t="n">
        <v>-2450</v>
      </c>
      <c r="C40" s="7" t="n">
        <v>-2270</v>
      </c>
      <c r="D40" s="10" t="n">
        <v>-1850</v>
      </c>
      <c r="E40" s="8">
        <f>D40+IS!E40+Assumptions!$B$22</f>
        <v/>
      </c>
      <c r="F40" s="8">
        <f>E40+IS!F40+Assumptions!$C$22</f>
        <v/>
      </c>
      <c r="G40" s="8">
        <f>F40+IS!G40+Assumptions!$D$22</f>
        <v/>
      </c>
    </row>
    <row r="41">
      <c r="A41" s="6" t="inlineStr">
        <is>
          <t>Accumulated Other Comprehensive Loss</t>
        </is>
      </c>
      <c r="B41" s="7" t="n">
        <v>-120</v>
      </c>
      <c r="C41" s="7" t="n">
        <v>-135</v>
      </c>
      <c r="D41" s="10" t="n">
        <v>-115</v>
      </c>
      <c r="E41" s="8">
        <f>D41</f>
        <v/>
      </c>
      <c r="F41" s="8">
        <f>E41</f>
        <v/>
      </c>
      <c r="G41" s="8">
        <f>F41</f>
        <v/>
      </c>
    </row>
    <row r="42">
      <c r="A42" s="12" t="inlineStr">
        <is>
          <t>Total Stockholders' Equity</t>
        </is>
      </c>
      <c r="B42" s="13">
        <f>SUM(B39:B41)</f>
        <v/>
      </c>
      <c r="C42" s="13">
        <f>SUM(C39:C41)</f>
        <v/>
      </c>
      <c r="D42" s="14">
        <f>SUM(D39:D41)</f>
        <v/>
      </c>
      <c r="E42" s="13">
        <f>SUM(E39:E41)</f>
        <v/>
      </c>
      <c r="F42" s="13">
        <f>SUM(F39:F41)</f>
        <v/>
      </c>
      <c r="G42" s="13">
        <f>SUM(G39:G41)</f>
        <v/>
      </c>
    </row>
    <row r="43">
      <c r="A43" s="12" t="inlineStr">
        <is>
          <t>TOTAL LIABILITIES &amp; EQUITY</t>
        </is>
      </c>
      <c r="B43" s="34">
        <f>B36+B42</f>
        <v/>
      </c>
      <c r="C43" s="34">
        <f>C36+C42</f>
        <v/>
      </c>
      <c r="D43" s="35">
        <f>D36+D42</f>
        <v/>
      </c>
      <c r="E43" s="34">
        <f>E36+E42</f>
        <v/>
      </c>
      <c r="F43" s="34">
        <f>F36+F42</f>
        <v/>
      </c>
      <c r="G43" s="34">
        <f>G36+G42</f>
        <v/>
      </c>
    </row>
    <row r="44">
      <c r="D44" s="2" t="n"/>
    </row>
    <row r="45">
      <c r="D45" s="2" t="n"/>
    </row>
  </sheetData>
  <mergeCells count="8">
    <mergeCell ref="A13:G13"/>
    <mergeCell ref="A1:G1"/>
    <mergeCell ref="A22:G22"/>
    <mergeCell ref="A4:G4"/>
    <mergeCell ref="A30:G30"/>
    <mergeCell ref="A38:G38"/>
    <mergeCell ref="A5:G5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G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SERVICENOW (NOW) — CASH FLOW STATEMENT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1" t="inlineStr">
        <is>
          <t>OPERATING ACTIVITIES</t>
        </is>
      </c>
      <c r="D4" s="2" t="n"/>
    </row>
    <row r="5">
      <c r="A5" s="6" t="inlineStr">
        <is>
          <t>Net Income</t>
        </is>
      </c>
      <c r="B5" s="11">
        <f>IS!B40</f>
        <v/>
      </c>
      <c r="C5" s="11">
        <f>IS!C40</f>
        <v/>
      </c>
      <c r="D5" s="36">
        <f>IS!D40</f>
        <v/>
      </c>
      <c r="E5" s="11">
        <f>IS!E40</f>
        <v/>
      </c>
      <c r="F5" s="11">
        <f>IS!F40</f>
        <v/>
      </c>
      <c r="G5" s="11">
        <f>IS!G40</f>
        <v/>
      </c>
    </row>
    <row r="6">
      <c r="A6" s="6" t="inlineStr">
        <is>
          <t>Depreciation &amp; Amortization</t>
        </is>
      </c>
      <c r="B6" s="11">
        <f>IS!B44</f>
        <v/>
      </c>
      <c r="C6" s="11">
        <f>IS!C44</f>
        <v/>
      </c>
      <c r="D6" s="36">
        <f>IS!D44</f>
        <v/>
      </c>
      <c r="E6" s="11">
        <f>IS!E44</f>
        <v/>
      </c>
      <c r="F6" s="11">
        <f>IS!F44</f>
        <v/>
      </c>
      <c r="G6" s="11">
        <f>IS!G44</f>
        <v/>
      </c>
    </row>
    <row r="7">
      <c r="A7" s="6" t="inlineStr">
        <is>
          <t>Stock-Based Compensation</t>
        </is>
      </c>
      <c r="B7" s="11">
        <f>IS!B46</f>
        <v/>
      </c>
      <c r="C7" s="11">
        <f>IS!C46</f>
        <v/>
      </c>
      <c r="D7" s="36">
        <f>IS!D46</f>
        <v/>
      </c>
      <c r="E7" s="11">
        <f>IS!E46</f>
        <v/>
      </c>
      <c r="F7" s="11">
        <f>IS!F46</f>
        <v/>
      </c>
      <c r="G7" s="11">
        <f>IS!G46</f>
        <v/>
      </c>
    </row>
    <row r="8">
      <c r="A8" s="6" t="inlineStr">
        <is>
          <t>Change in Accounts Receivable</t>
        </is>
      </c>
      <c r="B8" s="7" t="n">
        <v>-297</v>
      </c>
      <c r="C8" s="7" t="n">
        <v>-378</v>
      </c>
      <c r="D8" s="10" t="n">
        <v>-438</v>
      </c>
      <c r="E8" s="11">
        <f>-(WC!E8-WC!D8)</f>
        <v/>
      </c>
      <c r="F8" s="11">
        <f>-(WC!F8-WC!E8)</f>
        <v/>
      </c>
      <c r="G8" s="11">
        <f>-(WC!G8-WC!F8)</f>
        <v/>
      </c>
    </row>
    <row r="9">
      <c r="A9" s="6" t="inlineStr">
        <is>
          <t>Change in Deferred Revenue</t>
        </is>
      </c>
      <c r="B9" s="7" t="n">
        <v>721</v>
      </c>
      <c r="C9" s="7" t="n">
        <v>810</v>
      </c>
      <c r="D9" s="10" t="n">
        <v>1002</v>
      </c>
      <c r="E9" s="11">
        <f>(BS!E26+BS!E31)-(BS!D26+BS!D31)</f>
        <v/>
      </c>
      <c r="F9" s="11">
        <f>(BS!F26+BS!F31)-(BS!E26+BS!E31)</f>
        <v/>
      </c>
      <c r="G9" s="11">
        <f>(BS!G26+BS!G31)-(BS!F26+BS!F31)</f>
        <v/>
      </c>
    </row>
    <row r="10">
      <c r="A10" s="6" t="inlineStr">
        <is>
          <t>Change in Accounts Payable &amp; Accrued Exp.</t>
        </is>
      </c>
      <c r="B10" s="7" t="n">
        <v>180</v>
      </c>
      <c r="C10" s="7" t="n">
        <v>201</v>
      </c>
      <c r="D10" s="10" t="n">
        <v>263</v>
      </c>
      <c r="E10" s="11">
        <f>(WC!E15-WC!D15)+(BS!E25-BS!D25)</f>
        <v/>
      </c>
      <c r="F10" s="11">
        <f>(WC!F15-WC!E15)+(BS!F25-BS!E25)</f>
        <v/>
      </c>
      <c r="G10" s="11">
        <f>(WC!G15-WC!F15)+(BS!G25-BS!F25)</f>
        <v/>
      </c>
    </row>
    <row r="11">
      <c r="A11" s="6" t="inlineStr">
        <is>
          <t>Change in Other Working Capital</t>
        </is>
      </c>
      <c r="B11" s="7" t="n">
        <v>50</v>
      </c>
      <c r="C11" s="7" t="n">
        <v>-30</v>
      </c>
      <c r="D11" s="10" t="n">
        <v>-20</v>
      </c>
      <c r="E11" s="8">
        <f>-(BS!E10-BS!D10)*0.5</f>
        <v/>
      </c>
      <c r="F11" s="8">
        <f>-(BS!F10-BS!E10)*0.5</f>
        <v/>
      </c>
      <c r="G11" s="8">
        <f>-(BS!G10-BS!F10)*0.5</f>
        <v/>
      </c>
    </row>
    <row r="12">
      <c r="D12" s="2" t="n"/>
    </row>
    <row r="13">
      <c r="A13" s="12" t="inlineStr">
        <is>
          <t>Cash from Operations (CFO)</t>
        </is>
      </c>
      <c r="B13" s="13">
        <f>SUM(B5:B11)</f>
        <v/>
      </c>
      <c r="C13" s="13">
        <f>SUM(C5:C11)</f>
        <v/>
      </c>
      <c r="D13" s="14">
        <f>SUM(D5:D11)</f>
        <v/>
      </c>
      <c r="E13" s="13">
        <f>SUM(E5:E11)</f>
        <v/>
      </c>
      <c r="F13" s="13">
        <f>SUM(F5:F11)</f>
        <v/>
      </c>
      <c r="G13" s="13">
        <f>SUM(G5:G11)</f>
        <v/>
      </c>
    </row>
    <row r="14">
      <c r="A14" s="15" t="inlineStr">
        <is>
          <t>CFO Margin %</t>
        </is>
      </c>
      <c r="B14" s="16">
        <f>B13/IS!B7</f>
        <v/>
      </c>
      <c r="C14" s="16">
        <f>C13/IS!C7</f>
        <v/>
      </c>
      <c r="D14" s="17">
        <f>D13/IS!D7</f>
        <v/>
      </c>
      <c r="E14" s="16">
        <f>E13/IS!E7</f>
        <v/>
      </c>
      <c r="F14" s="16">
        <f>F13/IS!F7</f>
        <v/>
      </c>
      <c r="G14" s="16">
        <f>G13/IS!G7</f>
        <v/>
      </c>
    </row>
    <row r="15">
      <c r="D15" s="2" t="n"/>
    </row>
    <row r="16">
      <c r="A16" s="1" t="inlineStr">
        <is>
          <t>INVESTING ACTIVITIES</t>
        </is>
      </c>
      <c r="D16" s="2" t="n"/>
    </row>
    <row r="17">
      <c r="A17" s="6" t="inlineStr">
        <is>
          <t>Capital Expenditures</t>
        </is>
      </c>
      <c r="B17" s="7" t="n">
        <v>-502</v>
      </c>
      <c r="C17" s="7" t="n">
        <v>-592</v>
      </c>
      <c r="D17" s="10" t="n">
        <v>-680</v>
      </c>
      <c r="E17" s="11">
        <f>-IS!E7*Assumptions!$B$15</f>
        <v/>
      </c>
      <c r="F17" s="11">
        <f>-IS!F7*Assumptions!$C$15</f>
        <v/>
      </c>
      <c r="G17" s="11">
        <f>-IS!G7*Assumptions!$D$15</f>
        <v/>
      </c>
    </row>
    <row r="18">
      <c r="A18" s="6" t="inlineStr">
        <is>
          <t>Acquisitions</t>
        </is>
      </c>
      <c r="B18" s="7" t="n">
        <v>-420</v>
      </c>
      <c r="C18" s="7" t="n">
        <v>-610</v>
      </c>
      <c r="D18" s="10" t="n">
        <v>-285</v>
      </c>
      <c r="E18" s="11">
        <f>Assumptions!$B$24</f>
        <v/>
      </c>
      <c r="F18" s="11">
        <f>Assumptions!$C$24</f>
        <v/>
      </c>
      <c r="G18" s="11">
        <f>Assumptions!$D$24</f>
        <v/>
      </c>
    </row>
    <row r="19">
      <c r="A19" s="6" t="inlineStr">
        <is>
          <t>Net Investment Purchases / (Sales)</t>
        </is>
      </c>
      <c r="B19" s="7" t="n">
        <v>-580</v>
      </c>
      <c r="C19" s="7" t="n">
        <v>-730</v>
      </c>
      <c r="D19" s="10" t="n">
        <v>-310</v>
      </c>
      <c r="E19" s="11">
        <f>Assumptions!$B$25</f>
        <v/>
      </c>
      <c r="F19" s="11">
        <f>Assumptions!$C$25</f>
        <v/>
      </c>
      <c r="G19" s="11">
        <f>Assumptions!$D$25</f>
        <v/>
      </c>
    </row>
    <row r="20">
      <c r="A20" s="12" t="inlineStr">
        <is>
          <t>Cash from Investing (CFI)</t>
        </is>
      </c>
      <c r="B20" s="13">
        <f>SUM(B17:B19)</f>
        <v/>
      </c>
      <c r="C20" s="13">
        <f>SUM(C17:C19)</f>
        <v/>
      </c>
      <c r="D20" s="14">
        <f>SUM(D17:D19)</f>
        <v/>
      </c>
      <c r="E20" s="13">
        <f>SUM(E17:E19)</f>
        <v/>
      </c>
      <c r="F20" s="13">
        <f>SUM(F17:F19)</f>
        <v/>
      </c>
      <c r="G20" s="13">
        <f>SUM(G17:G19)</f>
        <v/>
      </c>
    </row>
    <row r="21">
      <c r="D21" s="2" t="n"/>
    </row>
    <row r="22">
      <c r="A22" s="1" t="inlineStr">
        <is>
          <t>FINANCING ACTIVITIES</t>
        </is>
      </c>
      <c r="D22" s="2" t="n"/>
    </row>
    <row r="23">
      <c r="A23" s="6" t="inlineStr">
        <is>
          <t>Share Repurchases</t>
        </is>
      </c>
      <c r="B23" s="7" t="n">
        <v>-1200</v>
      </c>
      <c r="C23" s="7" t="n">
        <v>-1500</v>
      </c>
      <c r="D23" s="10" t="n">
        <v>-1800</v>
      </c>
      <c r="E23" s="11">
        <f>Assumptions!$B$22</f>
        <v/>
      </c>
      <c r="F23" s="11">
        <f>Assumptions!$C$22</f>
        <v/>
      </c>
      <c r="G23" s="11">
        <f>Assumptions!$D$22</f>
        <v/>
      </c>
    </row>
    <row r="24">
      <c r="A24" s="6" t="inlineStr">
        <is>
          <t>Proceeds from ESPP / Options</t>
        </is>
      </c>
      <c r="B24" s="7" t="n">
        <v>300</v>
      </c>
      <c r="C24" s="7" t="n">
        <v>380</v>
      </c>
      <c r="D24" s="10" t="n">
        <v>450</v>
      </c>
      <c r="E24" s="11">
        <f>Assumptions!$B$23</f>
        <v/>
      </c>
      <c r="F24" s="11">
        <f>Assumptions!$C$23</f>
        <v/>
      </c>
      <c r="G24" s="11">
        <f>Assumptions!$D$23</f>
        <v/>
      </c>
    </row>
    <row r="25">
      <c r="A25" s="6" t="inlineStr">
        <is>
          <t>Debt Repayment</t>
        </is>
      </c>
      <c r="B25" s="7" t="n">
        <v>-1500</v>
      </c>
      <c r="C25" s="7" t="n">
        <v>0</v>
      </c>
      <c r="D25" s="10" t="n">
        <v>0</v>
      </c>
      <c r="E25" s="11">
        <f>Debt!E7</f>
        <v/>
      </c>
      <c r="F25" s="11">
        <f>Debt!F7</f>
        <v/>
      </c>
      <c r="G25" s="11">
        <f>Debt!G7</f>
        <v/>
      </c>
    </row>
    <row r="26">
      <c r="A26" s="12" t="inlineStr">
        <is>
          <t>Cash from Financing (CFF)</t>
        </is>
      </c>
      <c r="B26" s="13">
        <f>SUM(B23:B25)</f>
        <v/>
      </c>
      <c r="C26" s="13">
        <f>SUM(C23:C25)</f>
        <v/>
      </c>
      <c r="D26" s="14">
        <f>SUM(D23:D25)</f>
        <v/>
      </c>
      <c r="E26" s="13">
        <f>SUM(E23:E25)</f>
        <v/>
      </c>
      <c r="F26" s="13">
        <f>SUM(F23:F25)</f>
        <v/>
      </c>
      <c r="G26" s="13">
        <f>SUM(G23:G25)</f>
        <v/>
      </c>
    </row>
    <row r="27">
      <c r="D27" s="2" t="n"/>
    </row>
    <row r="28">
      <c r="A28" s="12" t="inlineStr">
        <is>
          <t>Net Change in Cash</t>
        </is>
      </c>
      <c r="B28" s="37">
        <f>B13+B20+B26</f>
        <v/>
      </c>
      <c r="C28" s="37">
        <f>C13+C20+C26</f>
        <v/>
      </c>
      <c r="D28" s="38">
        <f>D13+D20+D26</f>
        <v/>
      </c>
      <c r="E28" s="37">
        <f>E13+E20+E26</f>
        <v/>
      </c>
      <c r="F28" s="37">
        <f>F13+F20+F26</f>
        <v/>
      </c>
      <c r="G28" s="37">
        <f>G13+G20+G26</f>
        <v/>
      </c>
    </row>
    <row r="29">
      <c r="A29" s="6" t="inlineStr">
        <is>
          <t>Beginning Cash</t>
        </is>
      </c>
      <c r="B29" s="7" t="n">
        <v>1239</v>
      </c>
      <c r="C29" s="11">
        <f>B30</f>
        <v/>
      </c>
      <c r="D29" s="36">
        <f>C30</f>
        <v/>
      </c>
      <c r="E29" s="11">
        <f>D30</f>
        <v/>
      </c>
      <c r="F29" s="11">
        <f>E30</f>
        <v/>
      </c>
      <c r="G29" s="11">
        <f>F30</f>
        <v/>
      </c>
    </row>
    <row r="30">
      <c r="A30" s="12" t="inlineStr">
        <is>
          <t>Ending Cash</t>
        </is>
      </c>
      <c r="B30" s="34">
        <f>B29+B28</f>
        <v/>
      </c>
      <c r="C30" s="34">
        <f>C29+C28</f>
        <v/>
      </c>
      <c r="D30" s="35">
        <f>D29+D28</f>
        <v/>
      </c>
      <c r="E30" s="34">
        <f>E29+E28</f>
        <v/>
      </c>
      <c r="F30" s="34">
        <f>F29+F28</f>
        <v/>
      </c>
      <c r="G30" s="34">
        <f>G29+G28</f>
        <v/>
      </c>
    </row>
    <row r="31">
      <c r="D31" s="2" t="n"/>
    </row>
    <row r="32">
      <c r="A32" s="33" t="inlineStr">
        <is>
          <t>Free Cash Flow (memo)</t>
        </is>
      </c>
      <c r="B32" s="24">
        <f>B13+B17</f>
        <v/>
      </c>
      <c r="C32" s="24">
        <f>C13+C17</f>
        <v/>
      </c>
      <c r="D32" s="25">
        <f>D13+D17</f>
        <v/>
      </c>
      <c r="E32" s="24">
        <f>E13+E17</f>
        <v/>
      </c>
      <c r="F32" s="24">
        <f>F13+F17</f>
        <v/>
      </c>
      <c r="G32" s="24">
        <f>G13+G17</f>
        <v/>
      </c>
    </row>
    <row r="33">
      <c r="A33" s="15" t="inlineStr">
        <is>
          <t>FCF Margin %</t>
        </is>
      </c>
      <c r="B33" s="16">
        <f>B32/IS!B7</f>
        <v/>
      </c>
      <c r="C33" s="16">
        <f>C32/IS!C7</f>
        <v/>
      </c>
      <c r="D33" s="17">
        <f>D32/IS!D7</f>
        <v/>
      </c>
      <c r="E33" s="16">
        <f>E32/IS!E7</f>
        <v/>
      </c>
      <c r="F33" s="16">
        <f>F32/IS!F7</f>
        <v/>
      </c>
      <c r="G33" s="16">
        <f>G32/IS!G7</f>
        <v/>
      </c>
    </row>
    <row r="34">
      <c r="D34" s="2" t="n"/>
    </row>
    <row r="35">
      <c r="D35" s="2" t="n"/>
    </row>
  </sheetData>
  <mergeCells count="4">
    <mergeCell ref="A16:G16"/>
    <mergeCell ref="A22:G22"/>
    <mergeCell ref="A1:G1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G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WORKING CAPITAL SCHEDULE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4" t="inlineStr">
        <is>
          <t>ACCOUNTS RECEIVABLE</t>
        </is>
      </c>
      <c r="D4" s="2" t="n"/>
    </row>
    <row r="5">
      <c r="A5" s="6" t="inlineStr">
        <is>
          <t>Beginning AR</t>
        </is>
      </c>
      <c r="B5" s="7" t="n">
        <v>1177</v>
      </c>
      <c r="C5" s="11">
        <f>B8</f>
        <v/>
      </c>
      <c r="D5" s="36">
        <f>C8</f>
        <v/>
      </c>
      <c r="E5" s="11">
        <f>D8</f>
        <v/>
      </c>
      <c r="F5" s="11">
        <f>E8</f>
        <v/>
      </c>
      <c r="G5" s="11">
        <f>F8</f>
        <v/>
      </c>
    </row>
    <row r="6">
      <c r="A6" s="6" t="inlineStr">
        <is>
          <t>Revenue (ref)</t>
        </is>
      </c>
      <c r="B6" s="11">
        <f>IS!B7</f>
        <v/>
      </c>
      <c r="C6" s="11">
        <f>IS!C7</f>
        <v/>
      </c>
      <c r="D6" s="36">
        <f>IS!D7</f>
        <v/>
      </c>
      <c r="E6" s="11">
        <f>IS!E7</f>
        <v/>
      </c>
      <c r="F6" s="11">
        <f>IS!F7</f>
        <v/>
      </c>
      <c r="G6" s="11">
        <f>IS!G7</f>
        <v/>
      </c>
    </row>
    <row r="7">
      <c r="A7" s="6" t="inlineStr">
        <is>
          <t>Cash Collections (plug)</t>
        </is>
      </c>
      <c r="B7" s="8">
        <f>B5+B6-B8</f>
        <v/>
      </c>
      <c r="C7" s="8">
        <f>C5+C6-C8</f>
        <v/>
      </c>
      <c r="D7" s="9">
        <f>D5+D6-D8</f>
        <v/>
      </c>
      <c r="E7" s="8">
        <f>E5+E6-E8</f>
        <v/>
      </c>
      <c r="F7" s="8">
        <f>F5+F6-F8</f>
        <v/>
      </c>
      <c r="G7" s="8">
        <f>G5+G6-G8</f>
        <v/>
      </c>
    </row>
    <row r="8">
      <c r="A8" s="12" t="inlineStr">
        <is>
          <t>Ending AR</t>
        </is>
      </c>
      <c r="B8" s="7" t="n">
        <v>1474</v>
      </c>
      <c r="C8" s="7" t="n">
        <v>1852</v>
      </c>
      <c r="D8" s="10" t="n">
        <v>2290</v>
      </c>
      <c r="E8" s="11">
        <f>IS!E7*Assumptions!$B$18/365</f>
        <v/>
      </c>
      <c r="F8" s="11">
        <f>IS!F7*Assumptions!$C$18/365</f>
        <v/>
      </c>
      <c r="G8" s="11">
        <f>IS!G7*Assumptions!$D$18/365</f>
        <v/>
      </c>
    </row>
    <row r="9">
      <c r="A9" s="15" t="inlineStr">
        <is>
          <t>DSO (days)</t>
        </is>
      </c>
      <c r="B9" s="39">
        <f>B8/B6*365</f>
        <v/>
      </c>
      <c r="C9" s="39">
        <f>C8/C6*365</f>
        <v/>
      </c>
      <c r="D9" s="40">
        <f>D8/D6*365</f>
        <v/>
      </c>
      <c r="E9" s="39">
        <f>E8/E6*365</f>
        <v/>
      </c>
      <c r="F9" s="39">
        <f>F8/F6*365</f>
        <v/>
      </c>
      <c r="G9" s="39">
        <f>G8/G6*365</f>
        <v/>
      </c>
    </row>
    <row r="10">
      <c r="D10" s="2" t="n"/>
    </row>
    <row r="11">
      <c r="A11" s="4" t="inlineStr">
        <is>
          <t>ACCOUNTS PAYABLE</t>
        </is>
      </c>
      <c r="D11" s="2" t="n"/>
    </row>
    <row r="12">
      <c r="A12" s="6" t="inlineStr">
        <is>
          <t>Beginning AP</t>
        </is>
      </c>
      <c r="B12" s="7" t="n">
        <v>125</v>
      </c>
      <c r="C12" s="11">
        <f>B15</f>
        <v/>
      </c>
      <c r="D12" s="36">
        <f>C15</f>
        <v/>
      </c>
      <c r="E12" s="11">
        <f>D15</f>
        <v/>
      </c>
      <c r="F12" s="11">
        <f>E15</f>
        <v/>
      </c>
      <c r="G12" s="11">
        <f>F15</f>
        <v/>
      </c>
    </row>
    <row r="13">
      <c r="A13" s="6" t="inlineStr">
        <is>
          <t>Cost of Revenue (COGS proxy)</t>
        </is>
      </c>
      <c r="B13" s="11">
        <f>IS!B13</f>
        <v/>
      </c>
      <c r="C13" s="11">
        <f>IS!C13</f>
        <v/>
      </c>
      <c r="D13" s="36">
        <f>IS!D13</f>
        <v/>
      </c>
      <c r="E13" s="11">
        <f>IS!E13</f>
        <v/>
      </c>
      <c r="F13" s="11">
        <f>IS!F13</f>
        <v/>
      </c>
      <c r="G13" s="11">
        <f>IS!G13</f>
        <v/>
      </c>
    </row>
    <row r="14">
      <c r="A14" s="6" t="inlineStr">
        <is>
          <t>Cash Payments (plug)</t>
        </is>
      </c>
      <c r="B14" s="8">
        <f>B12+B13-B15</f>
        <v/>
      </c>
      <c r="C14" s="8">
        <f>C12+C13-C15</f>
        <v/>
      </c>
      <c r="D14" s="9">
        <f>D12+D13-D15</f>
        <v/>
      </c>
      <c r="E14" s="8">
        <f>E12+E13-E15</f>
        <v/>
      </c>
      <c r="F14" s="8">
        <f>F12+F13-F15</f>
        <v/>
      </c>
      <c r="G14" s="8">
        <f>G12+G13-G15</f>
        <v/>
      </c>
    </row>
    <row r="15">
      <c r="A15" s="12" t="inlineStr">
        <is>
          <t>Ending AP</t>
        </is>
      </c>
      <c r="B15" s="7" t="n">
        <v>156</v>
      </c>
      <c r="C15" s="7" t="n">
        <v>187</v>
      </c>
      <c r="D15" s="10" t="n">
        <v>220</v>
      </c>
      <c r="E15" s="11">
        <f>IS!E13*Assumptions!$B$19/365</f>
        <v/>
      </c>
      <c r="F15" s="11">
        <f>IS!F13*Assumptions!$C$19/365</f>
        <v/>
      </c>
      <c r="G15" s="11">
        <f>IS!G13*Assumptions!$D$19/365</f>
        <v/>
      </c>
    </row>
    <row r="16">
      <c r="A16" s="15" t="inlineStr">
        <is>
          <t>DPO (days)</t>
        </is>
      </c>
      <c r="B16" s="39">
        <f>B15/B13*365</f>
        <v/>
      </c>
      <c r="C16" s="39">
        <f>C15/C13*365</f>
        <v/>
      </c>
      <c r="D16" s="40">
        <f>D15/D13*365</f>
        <v/>
      </c>
      <c r="E16" s="39">
        <f>E15/E13*365</f>
        <v/>
      </c>
      <c r="F16" s="39">
        <f>F15/F13*365</f>
        <v/>
      </c>
      <c r="G16" s="39">
        <f>G15/G13*365</f>
        <v/>
      </c>
    </row>
    <row r="17">
      <c r="D17" s="2" t="n"/>
    </row>
    <row r="18">
      <c r="D18" s="2" t="n"/>
    </row>
  </sheetData>
  <mergeCells count="3">
    <mergeCell ref="A11:G11"/>
    <mergeCell ref="A1:G1"/>
    <mergeCell ref="A4:G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DD7EE"/>
    <outlinePr summaryBelow="1" summaryRight="1"/>
    <pageSetUpPr/>
  </sheetPr>
  <dimension ref="A1:G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D&amp;A / PP&amp;E SCHEDULE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4" t="inlineStr">
        <is>
          <t>PP&amp;E ROLL-FORWARD</t>
        </is>
      </c>
      <c r="D4" s="2" t="n"/>
    </row>
    <row r="5">
      <c r="A5" s="6" t="inlineStr">
        <is>
          <t>Beginning PP&amp;E (Gross)</t>
        </is>
      </c>
      <c r="B5" s="7" t="n">
        <v>1800</v>
      </c>
      <c r="C5" s="11">
        <f>B7</f>
        <v/>
      </c>
      <c r="D5" s="36">
        <f>C7</f>
        <v/>
      </c>
      <c r="E5" s="11">
        <f>D7</f>
        <v/>
      </c>
      <c r="F5" s="11">
        <f>E7</f>
        <v/>
      </c>
      <c r="G5" s="11">
        <f>F7</f>
        <v/>
      </c>
    </row>
    <row r="6">
      <c r="A6" s="6" t="inlineStr">
        <is>
          <t>Capital Expenditures</t>
        </is>
      </c>
      <c r="B6" s="7" t="n">
        <v>502</v>
      </c>
      <c r="C6" s="7" t="n">
        <v>592</v>
      </c>
      <c r="D6" s="10" t="n">
        <v>680</v>
      </c>
      <c r="E6" s="11">
        <f>-CF!E17</f>
        <v/>
      </c>
      <c r="F6" s="11">
        <f>-CF!F17</f>
        <v/>
      </c>
      <c r="G6" s="11">
        <f>-CF!G17</f>
        <v/>
      </c>
    </row>
    <row r="7">
      <c r="A7" s="12" t="inlineStr">
        <is>
          <t>Ending PP&amp;E (Gross)</t>
        </is>
      </c>
      <c r="B7" s="13">
        <f>B5+B6</f>
        <v/>
      </c>
      <c r="C7" s="13">
        <f>C5+C6</f>
        <v/>
      </c>
      <c r="D7" s="14">
        <f>D5+D6</f>
        <v/>
      </c>
      <c r="E7" s="13">
        <f>E5+E6</f>
        <v/>
      </c>
      <c r="F7" s="13">
        <f>F5+F6</f>
        <v/>
      </c>
      <c r="G7" s="13">
        <f>G5+G6</f>
        <v/>
      </c>
    </row>
    <row r="8">
      <c r="D8" s="2" t="n"/>
    </row>
    <row r="9">
      <c r="A9" s="6" t="inlineStr">
        <is>
          <t>Beginning Accumulated Depreciation</t>
        </is>
      </c>
      <c r="B9" s="7" t="n">
        <v>760</v>
      </c>
      <c r="C9" s="11">
        <f>B11</f>
        <v/>
      </c>
      <c r="D9" s="36">
        <f>C11</f>
        <v/>
      </c>
      <c r="E9" s="11">
        <f>D11</f>
        <v/>
      </c>
      <c r="F9" s="11">
        <f>E11</f>
        <v/>
      </c>
      <c r="G9" s="11">
        <f>F11</f>
        <v/>
      </c>
    </row>
    <row r="10">
      <c r="A10" s="6" t="inlineStr">
        <is>
          <t>Depreciation Expense</t>
        </is>
      </c>
      <c r="B10" s="11">
        <f>IS!B44</f>
        <v/>
      </c>
      <c r="C10" s="11">
        <f>IS!C44</f>
        <v/>
      </c>
      <c r="D10" s="36">
        <f>IS!D44</f>
        <v/>
      </c>
      <c r="E10" s="11">
        <f>IS!E44</f>
        <v/>
      </c>
      <c r="F10" s="11">
        <f>IS!F44</f>
        <v/>
      </c>
      <c r="G10" s="11">
        <f>IS!G44</f>
        <v/>
      </c>
    </row>
    <row r="11">
      <c r="A11" s="12" t="inlineStr">
        <is>
          <t>Ending Accumulated Depreciation</t>
        </is>
      </c>
      <c r="B11" s="13">
        <f>B9+B10</f>
        <v/>
      </c>
      <c r="C11" s="13">
        <f>C9+C10</f>
        <v/>
      </c>
      <c r="D11" s="14">
        <f>D9+D10</f>
        <v/>
      </c>
      <c r="E11" s="13">
        <f>E9+E10</f>
        <v/>
      </c>
      <c r="F11" s="13">
        <f>F9+F10</f>
        <v/>
      </c>
      <c r="G11" s="13">
        <f>G9+G10</f>
        <v/>
      </c>
    </row>
    <row r="12">
      <c r="D12" s="2" t="n"/>
    </row>
    <row r="13">
      <c r="A13" s="12" t="inlineStr">
        <is>
          <t>PP&amp;E, Net</t>
        </is>
      </c>
      <c r="B13" s="34">
        <f>B7-B11</f>
        <v/>
      </c>
      <c r="C13" s="34">
        <f>C7-C11</f>
        <v/>
      </c>
      <c r="D13" s="35">
        <f>D7-D11</f>
        <v/>
      </c>
      <c r="E13" s="34">
        <f>E7-E11</f>
        <v/>
      </c>
      <c r="F13" s="34">
        <f>F7-F11</f>
        <v/>
      </c>
      <c r="G13" s="34">
        <f>G7-G11</f>
        <v/>
      </c>
    </row>
    <row r="14">
      <c r="D14" s="2" t="n"/>
    </row>
    <row r="15">
      <c r="D15" s="2" t="n"/>
    </row>
  </sheetData>
  <mergeCells count="2"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DD7EE"/>
    <outlinePr summaryBelow="1" summaryRight="1"/>
    <pageSetUpPr/>
  </sheetPr>
  <dimension ref="A1:G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DEBT SCHEDULE</t>
        </is>
      </c>
      <c r="D1" s="2" t="n"/>
    </row>
    <row r="2">
      <c r="A2" s="3" t="inlineStr">
        <is>
          <t>($ in millions)</t>
        </is>
      </c>
      <c r="D2" s="2" t="n"/>
    </row>
    <row r="3">
      <c r="B3" s="4" t="inlineStr">
        <is>
          <t>FY2022A</t>
        </is>
      </c>
      <c r="C3" s="4" t="inlineStr">
        <is>
          <t>FY2023A</t>
        </is>
      </c>
      <c r="D3" s="5" t="inlineStr">
        <is>
          <t>FY2024A</t>
        </is>
      </c>
      <c r="E3" s="4" t="inlineStr">
        <is>
          <t>FY2025E</t>
        </is>
      </c>
      <c r="F3" s="4" t="inlineStr">
        <is>
          <t>FY2026E</t>
        </is>
      </c>
      <c r="G3" s="4" t="inlineStr">
        <is>
          <t>FY2027E</t>
        </is>
      </c>
    </row>
    <row r="4">
      <c r="A4" s="4" t="inlineStr">
        <is>
          <t>TOTAL DEBT ROLL-FORWARD</t>
        </is>
      </c>
      <c r="D4" s="2" t="n"/>
    </row>
    <row r="5">
      <c r="A5" s="6" t="inlineStr">
        <is>
          <t>Beginning Total Debt</t>
        </is>
      </c>
      <c r="B5" s="7" t="n">
        <v>3000</v>
      </c>
      <c r="C5" s="11">
        <f>B8</f>
        <v/>
      </c>
      <c r="D5" s="36">
        <f>C8</f>
        <v/>
      </c>
      <c r="E5" s="11">
        <f>D8</f>
        <v/>
      </c>
      <c r="F5" s="11">
        <f>E8</f>
        <v/>
      </c>
      <c r="G5" s="11">
        <f>F8</f>
        <v/>
      </c>
    </row>
    <row r="6">
      <c r="A6" s="6" t="inlineStr">
        <is>
          <t>New Borrowings</t>
        </is>
      </c>
      <c r="B6" s="7" t="n">
        <v>0</v>
      </c>
      <c r="C6" s="7" t="n">
        <v>0</v>
      </c>
      <c r="D6" s="10" t="n">
        <v>0</v>
      </c>
      <c r="E6" s="7" t="n">
        <v>0</v>
      </c>
      <c r="F6" s="7" t="n">
        <v>0</v>
      </c>
      <c r="G6" s="7" t="n">
        <v>0</v>
      </c>
    </row>
    <row r="7">
      <c r="A7" s="6" t="inlineStr">
        <is>
          <t>Debt Repayments</t>
        </is>
      </c>
      <c r="B7" s="7" t="n">
        <v>-1500</v>
      </c>
      <c r="C7" s="7" t="n">
        <v>0</v>
      </c>
      <c r="D7" s="10" t="n">
        <v>0</v>
      </c>
      <c r="E7" s="7" t="n">
        <v>0</v>
      </c>
      <c r="F7" s="7" t="n">
        <v>0</v>
      </c>
      <c r="G7" s="7" t="n">
        <v>0</v>
      </c>
    </row>
    <row r="8">
      <c r="A8" s="12" t="inlineStr">
        <is>
          <t>Ending Total Debt</t>
        </is>
      </c>
      <c r="B8" s="13">
        <f>B5+B6+B7</f>
        <v/>
      </c>
      <c r="C8" s="13">
        <f>C5+C6+C7</f>
        <v/>
      </c>
      <c r="D8" s="14">
        <f>D5+D6+D7</f>
        <v/>
      </c>
      <c r="E8" s="13">
        <f>E5+E6+E7</f>
        <v/>
      </c>
      <c r="F8" s="13">
        <f>F5+F6+F7</f>
        <v/>
      </c>
      <c r="G8" s="13">
        <f>G5+G6+G7</f>
        <v/>
      </c>
    </row>
    <row r="9">
      <c r="D9" s="2" t="n"/>
    </row>
    <row r="10">
      <c r="A10" s="6" t="inlineStr">
        <is>
          <t>Current Portion of LTD</t>
        </is>
      </c>
      <c r="B10" s="7" t="n">
        <v>1500</v>
      </c>
      <c r="C10" s="7" t="n">
        <v>0</v>
      </c>
      <c r="D10" s="10" t="n">
        <v>0</v>
      </c>
      <c r="E10" s="7" t="n">
        <v>0</v>
      </c>
      <c r="F10" s="7" t="n">
        <v>0</v>
      </c>
      <c r="G10" s="7" t="n">
        <v>0</v>
      </c>
    </row>
    <row r="11">
      <c r="A11" s="6" t="inlineStr">
        <is>
          <t>Long-Term Debt</t>
        </is>
      </c>
      <c r="B11" s="8">
        <f>B8-B10</f>
        <v/>
      </c>
      <c r="C11" s="8">
        <f>C8-C10</f>
        <v/>
      </c>
      <c r="D11" s="9">
        <f>D8-D10</f>
        <v/>
      </c>
      <c r="E11" s="8">
        <f>E8-E10</f>
        <v/>
      </c>
      <c r="F11" s="8">
        <f>F8-F10</f>
        <v/>
      </c>
      <c r="G11" s="8">
        <f>G8-G10</f>
        <v/>
      </c>
    </row>
    <row r="12">
      <c r="D12" s="2" t="n"/>
    </row>
    <row r="13">
      <c r="A13" s="4" t="inlineStr">
        <is>
          <t>INTEREST EXPENSE</t>
        </is>
      </c>
      <c r="D13" s="2" t="n"/>
    </row>
    <row r="14">
      <c r="A14" s="6" t="inlineStr">
        <is>
          <t>Interest Rate</t>
        </is>
      </c>
      <c r="B14" s="20" t="n">
        <v>0.045</v>
      </c>
      <c r="C14" s="20" t="n">
        <v>0.045</v>
      </c>
      <c r="D14" s="21" t="n">
        <v>0.045</v>
      </c>
      <c r="E14" s="20" t="n">
        <v>0.045</v>
      </c>
      <c r="F14" s="20" t="n">
        <v>0.045</v>
      </c>
      <c r="G14" s="20" t="n">
        <v>0.045</v>
      </c>
    </row>
    <row r="15">
      <c r="A15" s="6" t="inlineStr">
        <is>
          <t>Interest Expense</t>
        </is>
      </c>
      <c r="B15" s="8">
        <f>-B5*B14</f>
        <v/>
      </c>
      <c r="C15" s="8">
        <f>-C5*C14</f>
        <v/>
      </c>
      <c r="D15" s="9">
        <f>-D5*D14</f>
        <v/>
      </c>
      <c r="E15" s="8">
        <f>-E5*E14</f>
        <v/>
      </c>
      <c r="F15" s="8">
        <f>-F5*F14</f>
        <v/>
      </c>
      <c r="G15" s="8">
        <f>-G5*G14</f>
        <v/>
      </c>
    </row>
    <row r="16">
      <c r="D16" s="2" t="n"/>
    </row>
    <row r="17">
      <c r="D17" s="2" t="n"/>
    </row>
  </sheetData>
  <mergeCells count="3">
    <mergeCell ref="A13:G13"/>
    <mergeCell ref="A1:G1"/>
    <mergeCell ref="A4:G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2F2F2"/>
    <outlinePr summaryBelow="1" summaryRight="1"/>
    <pageSetUpPr/>
  </sheetPr>
  <dimension ref="A1:D5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SERVICENOW (NOW) — MODEL ASSUMPTIONS</t>
        </is>
      </c>
    </row>
    <row r="2">
      <c r="A2" s="3" t="inlineStr">
        <is>
          <t>($ in millions, unless noted)</t>
        </is>
      </c>
    </row>
    <row r="3">
      <c r="B3" s="4" t="inlineStr">
        <is>
          <t>FY2025E</t>
        </is>
      </c>
      <c r="C3" s="4" t="inlineStr">
        <is>
          <t>FY2026E</t>
        </is>
      </c>
      <c r="D3" s="4" t="inlineStr">
        <is>
          <t>FY2027E</t>
        </is>
      </c>
    </row>
    <row r="4">
      <c r="A4" s="1" t="inlineStr">
        <is>
          <t>INCOME STATEMENT DRIVERS</t>
        </is>
      </c>
    </row>
    <row r="5">
      <c r="A5" s="41" t="inlineStr">
        <is>
          <t>Revenue Growth Rate (Memo)</t>
        </is>
      </c>
      <c r="B5" s="20" t="n">
        <v>0.22</v>
      </c>
      <c r="C5" s="20" t="n">
        <v>0.19</v>
      </c>
      <c r="D5" s="20" t="n">
        <v>0.17</v>
      </c>
    </row>
    <row r="6">
      <c r="A6" s="41" t="inlineStr">
        <is>
          <t>Gross Margin %</t>
        </is>
      </c>
      <c r="B6" s="20" t="n">
        <v>0.795</v>
      </c>
      <c r="C6" s="20" t="n">
        <v>0.8</v>
      </c>
      <c r="D6" s="20" t="n">
        <v>0.805</v>
      </c>
    </row>
    <row r="7">
      <c r="A7" s="41" t="inlineStr">
        <is>
          <t>R&amp;D % of Revenue</t>
        </is>
      </c>
      <c r="B7" s="20" t="n">
        <v>0.23</v>
      </c>
      <c r="C7" s="20" t="n">
        <v>0.225</v>
      </c>
      <c r="D7" s="20" t="n">
        <v>0.22</v>
      </c>
    </row>
    <row r="8">
      <c r="A8" s="41" t="inlineStr">
        <is>
          <t>S&amp;M % of Revenue</t>
        </is>
      </c>
      <c r="B8" s="20" t="n">
        <v>0.22</v>
      </c>
      <c r="C8" s="20" t="n">
        <v>0.215</v>
      </c>
      <c r="D8" s="20" t="n">
        <v>0.21</v>
      </c>
    </row>
    <row r="9">
      <c r="A9" s="41" t="inlineStr">
        <is>
          <t>G&amp;A % of Revenue</t>
        </is>
      </c>
      <c r="B9" s="20" t="n">
        <v>0.06</v>
      </c>
      <c r="C9" s="20" t="n">
        <v>0.058</v>
      </c>
      <c r="D9" s="20" t="n">
        <v>0.056</v>
      </c>
    </row>
    <row r="10">
      <c r="A10" s="41" t="inlineStr">
        <is>
          <t>Tax Rate</t>
        </is>
      </c>
      <c r="B10" s="20" t="n">
        <v>0.18</v>
      </c>
      <c r="C10" s="20" t="n">
        <v>0.18</v>
      </c>
      <c r="D10" s="20" t="n">
        <v>0.18</v>
      </c>
    </row>
    <row r="11">
      <c r="A11" s="41" t="inlineStr">
        <is>
          <t>D&amp;A % of Revenue</t>
        </is>
      </c>
      <c r="B11" s="20" t="n">
        <v>0.07000000000000001</v>
      </c>
      <c r="C11" s="20" t="n">
        <v>0.068</v>
      </c>
      <c r="D11" s="20" t="n">
        <v>0.065</v>
      </c>
    </row>
    <row r="12">
      <c r="A12" s="41" t="inlineStr">
        <is>
          <t>SBC % of Revenue</t>
        </is>
      </c>
      <c r="B12" s="20" t="n">
        <v>0.135</v>
      </c>
      <c r="C12" s="20" t="n">
        <v>0.13</v>
      </c>
      <c r="D12" s="20" t="n">
        <v>0.125</v>
      </c>
    </row>
    <row r="14">
      <c r="A14" s="1" t="inlineStr">
        <is>
          <t>CASH FLOW &amp; CAPEX DRIVERS</t>
        </is>
      </c>
    </row>
    <row r="15">
      <c r="A15" s="41" t="inlineStr">
        <is>
          <t>Capex % of Revenue</t>
        </is>
      </c>
      <c r="B15" s="20" t="n">
        <v>0.065</v>
      </c>
      <c r="C15" s="20" t="n">
        <v>0.062</v>
      </c>
      <c r="D15" s="20" t="n">
        <v>0.06</v>
      </c>
    </row>
    <row r="17">
      <c r="A17" s="1" t="inlineStr">
        <is>
          <t>WORKING CAPITAL DRIVERS</t>
        </is>
      </c>
    </row>
    <row r="18">
      <c r="A18" s="41" t="inlineStr">
        <is>
          <t>DSO (days)</t>
        </is>
      </c>
      <c r="B18" s="42" t="n">
        <v>75</v>
      </c>
      <c r="C18" s="42" t="n">
        <v>74</v>
      </c>
      <c r="D18" s="42" t="n">
        <v>73</v>
      </c>
    </row>
    <row r="19">
      <c r="A19" s="41" t="inlineStr">
        <is>
          <t>DPO (days)</t>
        </is>
      </c>
      <c r="B19" s="42" t="n">
        <v>32</v>
      </c>
      <c r="C19" s="42" t="n">
        <v>32</v>
      </c>
      <c r="D19" s="42" t="n">
        <v>32</v>
      </c>
    </row>
    <row r="21">
      <c r="A21" s="1" t="inlineStr">
        <is>
          <t>FINANCING ASSUMPTIONS</t>
        </is>
      </c>
    </row>
    <row r="22">
      <c r="A22" s="41" t="inlineStr">
        <is>
          <t>Share Repurchases ($M)</t>
        </is>
      </c>
      <c r="B22" s="7" t="n">
        <v>-1800</v>
      </c>
      <c r="C22" s="7" t="n">
        <v>-1900</v>
      </c>
      <c r="D22" s="7" t="n">
        <v>-2000</v>
      </c>
    </row>
    <row r="23">
      <c r="A23" s="41" t="inlineStr">
        <is>
          <t>ESPP / Options Proceeds ($M)</t>
        </is>
      </c>
      <c r="B23" s="7" t="n">
        <v>500</v>
      </c>
      <c r="C23" s="7" t="n">
        <v>530</v>
      </c>
      <c r="D23" s="7" t="n">
        <v>560</v>
      </c>
    </row>
    <row r="24">
      <c r="A24" s="41" t="inlineStr">
        <is>
          <t>Net Acquisitions ($M)</t>
        </is>
      </c>
      <c r="B24" s="7" t="n">
        <v>-300</v>
      </c>
      <c r="C24" s="7" t="n">
        <v>-300</v>
      </c>
      <c r="D24" s="7" t="n">
        <v>-300</v>
      </c>
    </row>
    <row r="25">
      <c r="A25" s="41" t="inlineStr">
        <is>
          <t>Net Investment Purchases ($M)</t>
        </is>
      </c>
      <c r="B25" s="7" t="n">
        <v>-350</v>
      </c>
      <c r="C25" s="7" t="n">
        <v>-350</v>
      </c>
      <c r="D25" s="7" t="n">
        <v>-350</v>
      </c>
    </row>
    <row r="27">
      <c r="A27" s="1" t="inlineStr">
        <is>
          <t>SOFTWARE REVENUE DRIVERS</t>
        </is>
      </c>
    </row>
    <row r="29">
      <c r="A29" s="4" t="inlineStr">
        <is>
          <t>ARR BRIDGE ASSUMPTIONS</t>
        </is>
      </c>
    </row>
    <row r="30">
      <c r="A30" s="43" t="inlineStr">
        <is>
          <t>Primary Methodology: ARR Bridge</t>
        </is>
      </c>
    </row>
    <row r="34">
      <c r="A34" s="41" t="inlineStr">
        <is>
          <t>New Logo ARR Growth % YoY</t>
        </is>
      </c>
      <c r="B34" s="20" t="n">
        <v>0.2</v>
      </c>
      <c r="C34" s="20" t="n">
        <v>0.18</v>
      </c>
      <c r="D34" s="20" t="n">
        <v>0.16</v>
      </c>
    </row>
    <row r="35">
      <c r="A35" s="41" t="inlineStr">
        <is>
          <t>Expansion Rate (% of Beginning ARR)</t>
        </is>
      </c>
      <c r="B35" s="20" t="n">
        <v>0.24</v>
      </c>
      <c r="C35" s="20" t="n">
        <v>0.23</v>
      </c>
      <c r="D35" s="20" t="n">
        <v>0.22</v>
      </c>
    </row>
    <row r="36">
      <c r="A36" s="41" t="inlineStr">
        <is>
          <t>Gross Revenue Retention (GRR) %</t>
        </is>
      </c>
      <c r="B36" s="20" t="n">
        <v>0.99</v>
      </c>
      <c r="C36" s="20" t="n">
        <v>0.99</v>
      </c>
      <c r="D36" s="20" t="n">
        <v>0.99</v>
      </c>
    </row>
    <row r="37">
      <c r="A37" s="41" t="inlineStr">
        <is>
          <t>Contraction Rate (% of Beginning ARR)</t>
        </is>
      </c>
      <c r="B37" s="20" t="n">
        <v>0.003</v>
      </c>
      <c r="C37" s="20" t="n">
        <v>0.003</v>
      </c>
      <c r="D37" s="20" t="n">
        <v>0.003</v>
      </c>
    </row>
    <row r="38">
      <c r="A38" s="41" t="inlineStr">
        <is>
          <t>Billing Timing Factor</t>
        </is>
      </c>
      <c r="B38" s="44" t="n">
        <v>0.98</v>
      </c>
      <c r="C38" s="44" t="n">
        <v>0.98</v>
      </c>
      <c r="D38" s="44" t="n">
        <v>0.98</v>
      </c>
    </row>
    <row r="40">
      <c r="A40" s="4" t="inlineStr">
        <is>
          <t>RETENTION-BASED ASSUMPTIONS</t>
        </is>
      </c>
    </row>
    <row r="41">
      <c r="A41" s="41" t="inlineStr">
        <is>
          <t>Net Revenue Retention (NRR) %</t>
        </is>
      </c>
      <c r="B41" s="20" t="n">
        <v>1.24</v>
      </c>
      <c r="C41" s="20" t="n">
        <v>1.23</v>
      </c>
      <c r="D41" s="20" t="n">
        <v>1.22</v>
      </c>
    </row>
    <row r="42">
      <c r="A42" s="41" t="inlineStr">
        <is>
          <t>Logo Churn Rate %</t>
        </is>
      </c>
      <c r="B42" s="20" t="n">
        <v>0.03</v>
      </c>
      <c r="C42" s="20" t="n">
        <v>0.03</v>
      </c>
      <c r="D42" s="20" t="n">
        <v>0.03</v>
      </c>
    </row>
    <row r="44">
      <c r="A44" s="4" t="inlineStr">
        <is>
          <t>CUSTOMER TIER GROWTH</t>
        </is>
      </c>
    </row>
    <row r="45">
      <c r="A45" s="41" t="inlineStr">
        <is>
          <t>Customers &gt;$1M ACV Growth %</t>
        </is>
      </c>
      <c r="B45" s="20" t="n">
        <v>0.2</v>
      </c>
      <c r="C45" s="20" t="n">
        <v>0.18</v>
      </c>
      <c r="D45" s="20" t="n">
        <v>0.16</v>
      </c>
    </row>
    <row r="46">
      <c r="A46" s="41" t="inlineStr">
        <is>
          <t>Customers &gt;$5M ACV Growth %</t>
        </is>
      </c>
      <c r="B46" s="20" t="n">
        <v>0.18</v>
      </c>
      <c r="C46" s="20" t="n">
        <v>0.16</v>
      </c>
      <c r="D46" s="20" t="n">
        <v>0.15</v>
      </c>
    </row>
    <row r="47">
      <c r="A47" s="41" t="inlineStr">
        <is>
          <t>Customers &gt;$20M ACV Growth %</t>
        </is>
      </c>
      <c r="B47" s="20" t="n">
        <v>0.15</v>
      </c>
      <c r="C47" s="20" t="n">
        <v>0.14</v>
      </c>
      <c r="D47" s="20" t="n">
        <v>0.13</v>
      </c>
    </row>
    <row r="49">
      <c r="A49" s="4" t="inlineStr">
        <is>
          <t>RPO ASSUMPTIONS</t>
        </is>
      </c>
    </row>
    <row r="50">
      <c r="A50" s="41" t="inlineStr">
        <is>
          <t>cRPO Recognition Rate (next 12 months)</t>
        </is>
      </c>
      <c r="B50" s="20" t="n">
        <v>0.9399999999999999</v>
      </c>
      <c r="C50" s="20" t="n">
        <v>0.9399999999999999</v>
      </c>
      <c r="D50" s="20" t="n">
        <v>0.9399999999999999</v>
      </c>
    </row>
    <row r="51">
      <c r="A51" s="41" t="inlineStr">
        <is>
          <t>Total RPO Growth %</t>
        </is>
      </c>
      <c r="B51" s="20" t="n">
        <v>0.18</v>
      </c>
      <c r="C51" s="20" t="n">
        <v>0.16</v>
      </c>
      <c r="D51" s="20" t="n">
        <v>0.14</v>
      </c>
    </row>
    <row r="52">
      <c r="A52" s="41" t="inlineStr">
        <is>
          <t>cRPO as % of Total RPO</t>
        </is>
      </c>
      <c r="B52" s="20" t="n">
        <v>0.47</v>
      </c>
      <c r="C52" s="20" t="n">
        <v>0.47</v>
      </c>
      <c r="D52" s="20" t="n">
        <v>0.47</v>
      </c>
    </row>
    <row r="54">
      <c r="A54" s="4" t="inlineStr">
        <is>
          <t>PROFESSIONAL SERVICES</t>
        </is>
      </c>
    </row>
    <row r="55">
      <c r="A55" s="41" t="inlineStr">
        <is>
          <t>PS Revenue as % of Subscription Revenue</t>
        </is>
      </c>
      <c r="B55" s="20" t="n">
        <v>0.05</v>
      </c>
      <c r="C55" s="20" t="n">
        <v>0.048</v>
      </c>
      <c r="D55" s="20" t="n">
        <v>0.046</v>
      </c>
    </row>
  </sheetData>
  <mergeCells count="11">
    <mergeCell ref="A1:D1"/>
    <mergeCell ref="A17:D17"/>
    <mergeCell ref="A40:D40"/>
    <mergeCell ref="A27:D27"/>
    <mergeCell ref="A4:D4"/>
    <mergeCell ref="A21:D21"/>
    <mergeCell ref="A54:D54"/>
    <mergeCell ref="A29:D29"/>
    <mergeCell ref="A49:D49"/>
    <mergeCell ref="A14:D14"/>
    <mergeCell ref="A44:D4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E5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>
      <c r="A1" s="1" t="inlineStr">
        <is>
          <t>MODEL INTEGRITY CHECKS — SERVICENOW</t>
        </is>
      </c>
    </row>
    <row r="2">
      <c r="A2" s="3" t="inlineStr">
        <is>
          <t>GREEN = pass (TRUE), RED = fail (FALSE). Historical BS checks may show small discrepancies from rounded inputs.</t>
        </is>
      </c>
    </row>
    <row r="3">
      <c r="A3" s="4" t="inlineStr">
        <is>
          <t>Check</t>
        </is>
      </c>
      <c r="B3" s="4" t="inlineStr">
        <is>
          <t>Expected</t>
        </is>
      </c>
      <c r="C3" s="4" t="inlineStr">
        <is>
          <t>Note</t>
        </is>
      </c>
      <c r="D3" s="4" t="inlineStr">
        <is>
          <t>Result</t>
        </is>
      </c>
      <c r="E3" s="4" t="inlineStr">
        <is>
          <t>Status</t>
        </is>
      </c>
    </row>
    <row r="5">
      <c r="A5" s="1" t="inlineStr">
        <is>
          <t>BALANCE SHEET — Assets = Liabilities + Equity</t>
        </is>
      </c>
    </row>
    <row r="6">
      <c r="A6" s="41" t="inlineStr">
        <is>
          <t>BS Balances — FY2022A</t>
        </is>
      </c>
      <c r="B6" s="45" t="n">
        <v>0</v>
      </c>
      <c r="C6" s="33" t="inlineStr">
        <is>
          <t>Assets - L&amp;E</t>
        </is>
      </c>
      <c r="D6" s="8">
        <f>BS!B20-BS!B43</f>
        <v/>
      </c>
      <c r="E6" s="46">
        <f>IF(ABS(D6)&lt;1,"TRUE","FALSE")</f>
        <v/>
      </c>
    </row>
    <row r="7">
      <c r="A7" s="41" t="inlineStr">
        <is>
          <t>BS Balances — FY2023A</t>
        </is>
      </c>
      <c r="B7" s="45" t="n">
        <v>0</v>
      </c>
      <c r="C7" s="33" t="inlineStr">
        <is>
          <t>Assets - L&amp;E</t>
        </is>
      </c>
      <c r="D7" s="8">
        <f>BS!C20-BS!C43</f>
        <v/>
      </c>
      <c r="E7" s="46">
        <f>IF(ABS(D7)&lt;1,"TRUE","FALSE")</f>
        <v/>
      </c>
    </row>
    <row r="8">
      <c r="A8" s="41" t="inlineStr">
        <is>
          <t>BS Balances — FY2024A</t>
        </is>
      </c>
      <c r="B8" s="45" t="n">
        <v>0</v>
      </c>
      <c r="C8" s="33" t="inlineStr">
        <is>
          <t>Assets - L&amp;E</t>
        </is>
      </c>
      <c r="D8" s="8">
        <f>BS!D20-BS!D43</f>
        <v/>
      </c>
      <c r="E8" s="46">
        <f>IF(ABS(D8)&lt;1,"TRUE","FALSE")</f>
        <v/>
      </c>
    </row>
    <row r="9">
      <c r="A9" s="41" t="inlineStr">
        <is>
          <t>BS Balances — FY2025E</t>
        </is>
      </c>
      <c r="B9" s="45" t="n">
        <v>0</v>
      </c>
      <c r="C9" s="33" t="inlineStr">
        <is>
          <t>Assets - L&amp;E</t>
        </is>
      </c>
      <c r="D9" s="8">
        <f>BS!E20-BS!E43</f>
        <v/>
      </c>
      <c r="E9" s="46">
        <f>IF(ABS(D9)&lt;1,"TRUE","FALSE")</f>
        <v/>
      </c>
    </row>
    <row r="10">
      <c r="A10" s="41" t="inlineStr">
        <is>
          <t>BS Balances — FY2026E</t>
        </is>
      </c>
      <c r="B10" s="45" t="n">
        <v>0</v>
      </c>
      <c r="C10" s="33" t="inlineStr">
        <is>
          <t>Assets - L&amp;E</t>
        </is>
      </c>
      <c r="D10" s="8">
        <f>BS!F20-BS!F43</f>
        <v/>
      </c>
      <c r="E10" s="46">
        <f>IF(ABS(D10)&lt;1,"TRUE","FALSE")</f>
        <v/>
      </c>
    </row>
    <row r="11">
      <c r="A11" s="41" t="inlineStr">
        <is>
          <t>BS Balances — FY2027E</t>
        </is>
      </c>
      <c r="B11" s="45" t="n">
        <v>0</v>
      </c>
      <c r="C11" s="33" t="inlineStr">
        <is>
          <t>Assets - L&amp;E</t>
        </is>
      </c>
      <c r="D11" s="8">
        <f>BS!G20-BS!G43</f>
        <v/>
      </c>
      <c r="E11" s="46">
        <f>IF(ABS(D11)&lt;1,"TRUE","FALSE")</f>
        <v/>
      </c>
    </row>
    <row r="13">
      <c r="A13" s="1" t="inlineStr">
        <is>
          <t>CASH TIE-OUT — CF Ending Cash = BS Cash</t>
        </is>
      </c>
    </row>
    <row r="14">
      <c r="A14" s="41" t="inlineStr">
        <is>
          <t>CF Cash = BS Cash — FY2022A</t>
        </is>
      </c>
      <c r="B14" s="45" t="n">
        <v>0</v>
      </c>
      <c r="C14" s="33" t="inlineStr">
        <is>
          <t>CF end - BS cash</t>
        </is>
      </c>
      <c r="D14" s="8">
        <f>CF!B30-BS!B6</f>
        <v/>
      </c>
      <c r="E14" s="46">
        <f>IF(ABS(D14)&lt;1,"TRUE","FALSE")</f>
        <v/>
      </c>
    </row>
    <row r="15">
      <c r="A15" s="41" t="inlineStr">
        <is>
          <t>CF Cash = BS Cash — FY2023A</t>
        </is>
      </c>
      <c r="B15" s="45" t="n">
        <v>0</v>
      </c>
      <c r="C15" s="33" t="inlineStr">
        <is>
          <t>CF end - BS cash</t>
        </is>
      </c>
      <c r="D15" s="8">
        <f>CF!C30-BS!C6</f>
        <v/>
      </c>
      <c r="E15" s="46">
        <f>IF(ABS(D15)&lt;1,"TRUE","FALSE")</f>
        <v/>
      </c>
    </row>
    <row r="16">
      <c r="A16" s="41" t="inlineStr">
        <is>
          <t>CF Cash = BS Cash — FY2024A</t>
        </is>
      </c>
      <c r="B16" s="45" t="n">
        <v>0</v>
      </c>
      <c r="C16" s="33" t="inlineStr">
        <is>
          <t>CF end - BS cash</t>
        </is>
      </c>
      <c r="D16" s="8">
        <f>CF!D30-BS!D6</f>
        <v/>
      </c>
      <c r="E16" s="46">
        <f>IF(ABS(D16)&lt;1,"TRUE","FALSE")</f>
        <v/>
      </c>
    </row>
    <row r="17">
      <c r="A17" s="41" t="inlineStr">
        <is>
          <t>CF Cash = BS Cash — FY2025E</t>
        </is>
      </c>
      <c r="B17" s="45" t="n">
        <v>0</v>
      </c>
      <c r="C17" s="33" t="inlineStr">
        <is>
          <t>CF end - BS cash</t>
        </is>
      </c>
      <c r="D17" s="8">
        <f>CF!E30-BS!E6</f>
        <v/>
      </c>
      <c r="E17" s="46">
        <f>IF(ABS(D17)&lt;1,"TRUE","FALSE")</f>
        <v/>
      </c>
    </row>
    <row r="18">
      <c r="A18" s="41" t="inlineStr">
        <is>
          <t>CF Cash = BS Cash — FY2026E</t>
        </is>
      </c>
      <c r="B18" s="45" t="n">
        <v>0</v>
      </c>
      <c r="C18" s="33" t="inlineStr">
        <is>
          <t>CF end - BS cash</t>
        </is>
      </c>
      <c r="D18" s="8">
        <f>CF!F30-BS!F6</f>
        <v/>
      </c>
      <c r="E18" s="46">
        <f>IF(ABS(D18)&lt;1,"TRUE","FALSE")</f>
        <v/>
      </c>
    </row>
    <row r="19">
      <c r="A19" s="41" t="inlineStr">
        <is>
          <t>CF Cash = BS Cash — FY2027E</t>
        </is>
      </c>
      <c r="B19" s="45" t="n">
        <v>0</v>
      </c>
      <c r="C19" s="33" t="inlineStr">
        <is>
          <t>CF end - BS cash</t>
        </is>
      </c>
      <c r="D19" s="8">
        <f>CF!G30-BS!G6</f>
        <v/>
      </c>
      <c r="E19" s="46">
        <f>IF(ABS(D19)&lt;1,"TRUE","FALSE")</f>
        <v/>
      </c>
    </row>
    <row r="21">
      <c r="A21" s="1" t="inlineStr">
        <is>
          <t>NET INCOME LINK — IS = CF</t>
        </is>
      </c>
    </row>
    <row r="22">
      <c r="A22" s="41" t="inlineStr">
        <is>
          <t>IS NI = CF NI — FY2022A</t>
        </is>
      </c>
      <c r="B22" s="45" t="n">
        <v>0</v>
      </c>
      <c r="C22" s="33" t="inlineStr">
        <is>
          <t>IS row 40 - CF row 5</t>
        </is>
      </c>
      <c r="D22" s="8">
        <f>IS!B40-CF!B5</f>
        <v/>
      </c>
      <c r="E22" s="46">
        <f>IF(ABS(D22)&lt;1,"TRUE","FALSE")</f>
        <v/>
      </c>
    </row>
    <row r="23">
      <c r="A23" s="41" t="inlineStr">
        <is>
          <t>IS NI = CF NI — FY2024A</t>
        </is>
      </c>
      <c r="B23" s="45" t="n">
        <v>0</v>
      </c>
      <c r="C23" s="33" t="inlineStr">
        <is>
          <t>IS row 40 - CF row 5</t>
        </is>
      </c>
      <c r="D23" s="8">
        <f>IS!D40-CF!D5</f>
        <v/>
      </c>
      <c r="E23" s="46">
        <f>IF(ABS(D23)&lt;1,"TRUE","FALSE")</f>
        <v/>
      </c>
    </row>
    <row r="24">
      <c r="A24" s="41" t="inlineStr">
        <is>
          <t>IS NI = CF NI — FY2025E</t>
        </is>
      </c>
      <c r="B24" s="45" t="n">
        <v>0</v>
      </c>
      <c r="C24" s="33" t="inlineStr">
        <is>
          <t>IS row 40 - CF row 5</t>
        </is>
      </c>
      <c r="D24" s="8">
        <f>IS!E40-CF!E5</f>
        <v/>
      </c>
      <c r="E24" s="46">
        <f>IF(ABS(D24)&lt;1,"TRUE","FALSE")</f>
        <v/>
      </c>
    </row>
    <row r="25">
      <c r="A25" s="41" t="inlineStr">
        <is>
          <t>IS NI = CF NI — FY2026E</t>
        </is>
      </c>
      <c r="B25" s="45" t="n">
        <v>0</v>
      </c>
      <c r="C25" s="33" t="inlineStr">
        <is>
          <t>IS row 40 - CF row 5</t>
        </is>
      </c>
      <c r="D25" s="8">
        <f>IS!F40-CF!F5</f>
        <v/>
      </c>
      <c r="E25" s="46">
        <f>IF(ABS(D25)&lt;1,"TRUE","FALSE")</f>
        <v/>
      </c>
    </row>
    <row r="26">
      <c r="A26" s="41" t="inlineStr">
        <is>
          <t>IS NI = CF NI — FY2027E</t>
        </is>
      </c>
      <c r="B26" s="45" t="n">
        <v>0</v>
      </c>
      <c r="C26" s="33" t="inlineStr">
        <is>
          <t>IS row 40 - CF row 5</t>
        </is>
      </c>
      <c r="D26" s="8">
        <f>IS!G40-CF!G5</f>
        <v/>
      </c>
      <c r="E26" s="46">
        <f>IF(ABS(D26)&lt;1,"TRUE","FALSE")</f>
        <v/>
      </c>
    </row>
    <row r="28">
      <c r="A28" s="1" t="inlineStr">
        <is>
          <t>PP&amp;E NET — DA Schedule = BS</t>
        </is>
      </c>
    </row>
    <row r="29">
      <c r="A29" s="41" t="inlineStr">
        <is>
          <t>DA PP&amp;E Net = BS PP&amp;E — FY2024A</t>
        </is>
      </c>
      <c r="B29" s="45" t="n">
        <v>0</v>
      </c>
      <c r="C29" s="33" t="inlineStr">
        <is>
          <t>DA row 13 - BS row 14</t>
        </is>
      </c>
      <c r="D29" s="8">
        <f>DA!D13-BS!D14</f>
        <v/>
      </c>
      <c r="E29" s="46">
        <f>IF(ABS(D29)&lt;1,"TRUE","FALSE")</f>
        <v/>
      </c>
    </row>
    <row r="30">
      <c r="A30" s="41" t="inlineStr">
        <is>
          <t>DA PP&amp;E Net = BS PP&amp;E — FY2025E</t>
        </is>
      </c>
      <c r="B30" s="45" t="n">
        <v>0</v>
      </c>
      <c r="C30" s="33" t="inlineStr">
        <is>
          <t>DA row 13 - BS row 14</t>
        </is>
      </c>
      <c r="D30" s="8">
        <f>DA!E13-BS!E14</f>
        <v/>
      </c>
      <c r="E30" s="46">
        <f>IF(ABS(D30)&lt;1,"TRUE","FALSE")</f>
        <v/>
      </c>
    </row>
    <row r="31">
      <c r="A31" s="41" t="inlineStr">
        <is>
          <t>DA PP&amp;E Net = BS PP&amp;E — FY2026E</t>
        </is>
      </c>
      <c r="B31" s="45" t="n">
        <v>0</v>
      </c>
      <c r="C31" s="33" t="inlineStr">
        <is>
          <t>DA row 13 - BS row 14</t>
        </is>
      </c>
      <c r="D31" s="8">
        <f>DA!F13-BS!F14</f>
        <v/>
      </c>
      <c r="E31" s="46">
        <f>IF(ABS(D31)&lt;1,"TRUE","FALSE")</f>
        <v/>
      </c>
    </row>
    <row r="32">
      <c r="A32" s="41" t="inlineStr">
        <is>
          <t>DA PP&amp;E Net = BS PP&amp;E — FY2027E</t>
        </is>
      </c>
      <c r="B32" s="45" t="n">
        <v>0</v>
      </c>
      <c r="C32" s="33" t="inlineStr">
        <is>
          <t>DA row 13 - BS row 14</t>
        </is>
      </c>
      <c r="D32" s="8">
        <f>DA!G13-BS!G14</f>
        <v/>
      </c>
      <c r="E32" s="46">
        <f>IF(ABS(D32)&lt;1,"TRUE","FALSE")</f>
        <v/>
      </c>
    </row>
    <row r="34">
      <c r="A34" s="1" t="inlineStr">
        <is>
          <t>RETAINED EARNINGS ROLL-FORWARD</t>
        </is>
      </c>
    </row>
    <row r="35">
      <c r="A35" s="41" t="inlineStr">
        <is>
          <t>RE Roll-Fwd — FY2025E</t>
        </is>
      </c>
      <c r="B35" s="45" t="n">
        <v>0</v>
      </c>
      <c r="C35" s="33" t="inlineStr">
        <is>
          <t>RE = prior + NI + buybacks</t>
        </is>
      </c>
      <c r="D35" s="8">
        <f>BS!E40-(BS!D40+IS!E40+Assumptions!$B$22)</f>
        <v/>
      </c>
      <c r="E35" s="46">
        <f>IF(ABS(D35)&lt;1,"TRUE","FALSE")</f>
        <v/>
      </c>
    </row>
    <row r="36">
      <c r="A36" s="41" t="inlineStr">
        <is>
          <t>RE Roll-Fwd — FY2026E</t>
        </is>
      </c>
      <c r="B36" s="45" t="n">
        <v>0</v>
      </c>
      <c r="C36" s="33" t="inlineStr">
        <is>
          <t>RE = prior + NI + buybacks</t>
        </is>
      </c>
      <c r="D36" s="8">
        <f>BS!F40-(BS!E40+IS!F40+Assumptions!$C$22)</f>
        <v/>
      </c>
      <c r="E36" s="46">
        <f>IF(ABS(D36)&lt;1,"TRUE","FALSE")</f>
        <v/>
      </c>
    </row>
    <row r="37">
      <c r="A37" s="41" t="inlineStr">
        <is>
          <t>RE Roll-Fwd — FY2027E</t>
        </is>
      </c>
      <c r="B37" s="45" t="n">
        <v>0</v>
      </c>
      <c r="C37" s="33" t="inlineStr">
        <is>
          <t>RE = prior + NI + buybacks</t>
        </is>
      </c>
      <c r="D37" s="8">
        <f>BS!G40-(BS!F40+IS!G40+Assumptions!$D$22)</f>
        <v/>
      </c>
      <c r="E37" s="46">
        <f>IF(ABS(D37)&lt;1,"TRUE","FALSE")</f>
        <v/>
      </c>
    </row>
    <row r="40">
      <c r="A40" s="1" t="inlineStr">
        <is>
          <t>SOFTWARE — IS REVENUE LINKS (revenue_build → IS)</t>
        </is>
      </c>
    </row>
    <row r="41">
      <c r="A41" s="41" t="inlineStr">
        <is>
          <t>IS Sub Rev = rb Sub Rev — FY2025E</t>
        </is>
      </c>
      <c r="B41" s="45" t="n">
        <v>0</v>
      </c>
      <c r="C41" s="33" t="inlineStr">
        <is>
          <t>IS row 5 = rb row 37</t>
        </is>
      </c>
      <c r="D41" s="8">
        <f>IS!E5-revenue_build!E37</f>
        <v/>
      </c>
      <c r="E41" s="46">
        <f>IF(ABS(D41)&lt;0.01,"TRUE","FALSE")</f>
        <v/>
      </c>
    </row>
    <row r="42">
      <c r="A42" s="41" t="inlineStr">
        <is>
          <t>IS Sub Rev = rb Sub Rev — FY2026E</t>
        </is>
      </c>
      <c r="B42" s="45" t="n">
        <v>0</v>
      </c>
      <c r="C42" s="33" t="inlineStr">
        <is>
          <t>IS row 5 = rb row 37</t>
        </is>
      </c>
      <c r="D42" s="8">
        <f>IS!F5-revenue_build!F37</f>
        <v/>
      </c>
      <c r="E42" s="46">
        <f>IF(ABS(D42)&lt;0.01,"TRUE","FALSE")</f>
        <v/>
      </c>
    </row>
    <row r="43">
      <c r="A43" s="41" t="inlineStr">
        <is>
          <t>IS Sub Rev = rb Sub Rev — FY2027E</t>
        </is>
      </c>
      <c r="B43" s="45" t="n">
        <v>0</v>
      </c>
      <c r="C43" s="33" t="inlineStr">
        <is>
          <t>IS row 5 = rb row 37</t>
        </is>
      </c>
      <c r="D43" s="8">
        <f>IS!G5-revenue_build!G37</f>
        <v/>
      </c>
      <c r="E43" s="46">
        <f>IF(ABS(D43)&lt;0.01,"TRUE","FALSE")</f>
        <v/>
      </c>
    </row>
    <row r="44">
      <c r="A44" s="41" t="inlineStr">
        <is>
          <t>IS PS Rev = rb PS Rev — FY2025E</t>
        </is>
      </c>
      <c r="B44" s="45" t="n">
        <v>0</v>
      </c>
      <c r="C44" s="33" t="inlineStr">
        <is>
          <t>IS row 6 = rb row 38</t>
        </is>
      </c>
      <c r="D44" s="8">
        <f>IS!E6-revenue_build!E38</f>
        <v/>
      </c>
      <c r="E44" s="46">
        <f>IF(ABS(D44)&lt;0.01,"TRUE","FALSE")</f>
        <v/>
      </c>
    </row>
    <row r="45">
      <c r="A45" s="41" t="inlineStr">
        <is>
          <t>IS PS Rev = rb PS Rev — FY2026E</t>
        </is>
      </c>
      <c r="B45" s="45" t="n">
        <v>0</v>
      </c>
      <c r="C45" s="33" t="inlineStr">
        <is>
          <t>IS row 6 = rb row 38</t>
        </is>
      </c>
      <c r="D45" s="8">
        <f>IS!F6-revenue_build!F38</f>
        <v/>
      </c>
      <c r="E45" s="46">
        <f>IF(ABS(D45)&lt;0.01,"TRUE","FALSE")</f>
        <v/>
      </c>
    </row>
    <row r="46">
      <c r="A46" s="41" t="inlineStr">
        <is>
          <t>IS PS Rev = rb PS Rev — FY2027E</t>
        </is>
      </c>
      <c r="B46" s="45" t="n">
        <v>0</v>
      </c>
      <c r="C46" s="33" t="inlineStr">
        <is>
          <t>IS row 6 = rb row 38</t>
        </is>
      </c>
      <c r="D46" s="8">
        <f>IS!G6-revenue_build!G38</f>
        <v/>
      </c>
      <c r="E46" s="46">
        <f>IF(ABS(D46)&lt;0.01,"TRUE","FALSE")</f>
        <v/>
      </c>
    </row>
    <row r="48">
      <c r="A48" s="1" t="inlineStr">
        <is>
          <t>SOFTWARE — ARR BRIDGE &amp; KPI CHECKS</t>
        </is>
      </c>
    </row>
    <row r="49">
      <c r="A49" s="41" t="inlineStr">
        <is>
          <t>ARR Bridge Balances — FY2025E</t>
        </is>
      </c>
      <c r="B49" s="45" t="n">
        <v>0</v>
      </c>
      <c r="C49" s="33" t="inlineStr">
        <is>
          <t>Ending ARR = sum of components</t>
        </is>
      </c>
      <c r="D49" s="8">
        <f>revenue_build!E10-(revenue_build!E5+revenue_build!E6+revenue_build!E7+revenue_build!E8+revenue_build!E9)</f>
        <v/>
      </c>
      <c r="E49" s="46">
        <f>IF(ABS(D49)&lt;0.01,"TRUE","FALSE")</f>
        <v/>
      </c>
    </row>
    <row r="50">
      <c r="A50" s="41" t="inlineStr">
        <is>
          <t>ARR Bridge Balances — FY2026E</t>
        </is>
      </c>
      <c r="B50" s="45" t="n">
        <v>0</v>
      </c>
      <c r="C50" s="33" t="inlineStr">
        <is>
          <t>Ending ARR = sum of components</t>
        </is>
      </c>
      <c r="D50" s="8">
        <f>revenue_build!F10-(revenue_build!F5+revenue_build!F6+revenue_build!F7+revenue_build!F8+revenue_build!F9)</f>
        <v/>
      </c>
      <c r="E50" s="46">
        <f>IF(ABS(D50)&lt;0.01,"TRUE","FALSE")</f>
        <v/>
      </c>
    </row>
    <row r="51">
      <c r="A51" s="41" t="inlineStr">
        <is>
          <t>ARR Bridge Balances — FY2027E</t>
        </is>
      </c>
      <c r="B51" s="45" t="n">
        <v>0</v>
      </c>
      <c r="C51" s="33" t="inlineStr">
        <is>
          <t>Ending ARR = sum of components</t>
        </is>
      </c>
      <c r="D51" s="8">
        <f>revenue_build!G10-(revenue_build!G5+revenue_build!G6+revenue_build!G7+revenue_build!G8+revenue_build!G9)</f>
        <v/>
      </c>
      <c r="E51" s="46">
        <f>IF(ABS(D51)&lt;0.01,"TRUE","FALSE")</f>
        <v/>
      </c>
    </row>
    <row r="52">
      <c r="A52" s="41" t="inlineStr">
        <is>
          <t>GRR &lt;= 100% — FY2025E</t>
        </is>
      </c>
      <c r="B52" s="45" t="n">
        <v>1</v>
      </c>
      <c r="C52" s="33" t="inlineStr">
        <is>
          <t>GRR cannot exceed 100%</t>
        </is>
      </c>
      <c r="D52" s="8">
        <f>revenue_build!E15</f>
        <v/>
      </c>
      <c r="E52" s="46">
        <f>IF(revenue_build!E15&lt;=1,"TRUE","FALSE")</f>
        <v/>
      </c>
    </row>
    <row r="53">
      <c r="A53" s="41" t="inlineStr">
        <is>
          <t>NRR &gt;= GRR — FY2025E</t>
        </is>
      </c>
      <c r="B53" s="45" t="inlineStr"/>
      <c r="C53" s="33" t="inlineStr">
        <is>
          <t>expansion included in NRR</t>
        </is>
      </c>
      <c r="D53" s="8">
        <f>revenue_build!E16-revenue_build!E15</f>
        <v/>
      </c>
      <c r="E53" s="46">
        <f>IF(revenue_build!E16&gt;=revenue_build!E15,"TRUE","FALSE")</f>
        <v/>
      </c>
    </row>
    <row r="54">
      <c r="A54" s="41" t="inlineStr">
        <is>
          <t>cRPO &lt;= Total RPO — FY2025E</t>
        </is>
      </c>
      <c r="B54" s="45" t="inlineStr"/>
      <c r="C54" s="33" t="inlineStr">
        <is>
          <t>current portion &lt;= total</t>
        </is>
      </c>
      <c r="D54" s="8">
        <f>revenue_build!E23-revenue_build!E22</f>
        <v/>
      </c>
      <c r="E54" s="46">
        <f>IF(revenue_build!E23&lt;=revenue_build!E22,"TRUE","FALSE")</f>
        <v/>
      </c>
    </row>
    <row r="57">
      <c r="A57" s="47">
        <f>IF(COUNTIF(E6:E54,"FALSE")=0,"✓  ALL CHECKS PASS","✗  "&amp;COUNTIF(E6:E54,"FALSE")&amp;" CHECK(S) FAILING")</f>
        <v/>
      </c>
    </row>
  </sheetData>
  <mergeCells count="9">
    <mergeCell ref="A21:E21"/>
    <mergeCell ref="A34:E34"/>
    <mergeCell ref="A48:E48"/>
    <mergeCell ref="A28:E28"/>
    <mergeCell ref="A1:E1"/>
    <mergeCell ref="A5:E5"/>
    <mergeCell ref="A57:D57"/>
    <mergeCell ref="A13:E13"/>
    <mergeCell ref="A40:E40"/>
  </mergeCells>
  <conditionalFormatting sqref="E6:E54">
    <cfRule type="cellIs" priority="1" operator="equal" dxfId="0">
      <formula>"TRUE"</formula>
    </cfRule>
    <cfRule type="cellIs" priority="2" operator="equal" dxfId="1">
      <formula>"FALSE"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2026-05-06T14:37:03Z</dcterms:created>
  <dcterms:modified xsi:type="dcterms:W3CDTF">2026-05-06T14:37:03Z</dcterms:modified>
</cp:coreProperties>
</file>