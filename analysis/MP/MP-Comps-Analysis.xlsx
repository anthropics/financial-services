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Operating Metric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REE-Specific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&quot;"/>
  </numFmts>
  <fonts count="6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b val="1"/>
      <sz val="12"/>
    </font>
    <font>
      <name val="Times New Roman"/>
      <i val="1"/>
      <color rgb="00595959"/>
      <sz val="10"/>
    </font>
    <font>
      <name val="Times New Roman"/>
      <color rgb="00000000"/>
      <sz val="11"/>
    </font>
    <font>
      <name val="Times New Roman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pivotButton="0" quotePrefix="0" xfId="0"/>
    <xf numFmtId="3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3" fillId="0" borderId="0" pivotButton="0" quotePrefix="0" xfId="0"/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3" fontId="2" fillId="4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5" fontId="2" fillId="4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4" fontId="2" fillId="4" borderId="0" applyAlignment="1" pivotButton="0" quotePrefix="0" xfId="0">
      <alignment horizontal="center" vertical="center"/>
    </xf>
    <xf numFmtId="0" fontId="2" fillId="3" borderId="0" pivotButton="0" quotePrefix="0" xfId="0"/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MP comp analysis</author>
  </authors>
  <commentList>
    <comment ref="C7" authorId="0" shapeId="0">
      <text>
        <t>StockAnalysis.com – MP Statistics, accessed May 2026 ($9.81B)</t>
      </text>
    </comment>
    <comment ref="D7" authorId="0" shapeId="0">
      <text>
        <t>[E] Net debt ~$200M post-DoD preferred; from Q1'26 10-Q balance sheet (mp-20260331)</t>
      </text>
    </comment>
    <comment ref="E7" authorId="0" shapeId="0">
      <text>
        <t>MP Q1 2026 10-Q + prior 3 quarters; TTM ~$275M</t>
      </text>
    </comment>
    <comment ref="F7" authorId="0" shapeId="0">
      <text>
        <t>Q1 2026 YoY revenue growth, per MP Q1 2026 earnings release</t>
      </text>
    </comment>
    <comment ref="G7" authorId="0" shapeId="0">
      <text>
        <t>[E] ~30% gross margin × $275M TTM rev (per Q1 release commentary)</t>
      </text>
    </comment>
    <comment ref="H7" authorId="0" shapeId="0">
      <text>
        <t>TTM EBITDA per StockAnalysis.com / company filings (negative; inflecting positive in Q1'26 Adj)</t>
      </text>
    </comment>
    <comment ref="I7" authorId="0" shapeId="0">
      <text>
        <t>TTM net loss per StockAnalysis.com (-$85.87M)</t>
      </text>
    </comment>
    <comment ref="J7" authorId="0" shapeId="0">
      <text>
        <t>Near-term NdPr oxide capacity (MT/yr), per Stage II ramp commentary</t>
      </text>
    </comment>
    <comment ref="C8" authorId="0" shapeId="0">
      <text>
        <t>Yahoo Finance LYC.AX / StockAnalysis, May 2026 (~A$15.1B → US$10.8B)</t>
      </text>
    </comment>
    <comment ref="D8" authorId="0" shapeId="0">
      <text>
        <t>Approx net cash neutral; per H1 FY26 results (Dec 2025)</t>
      </text>
    </comment>
    <comment ref="E8" authorId="0" shapeId="0">
      <text>
        <t>LTM revenue US$578M per StockAnalysis.com, Jan 2026</t>
      </text>
    </comment>
    <comment ref="F8" authorId="0" shapeId="0">
      <text>
        <t>Q3 FY26 revenue +115% YoY per stocksdownunder.com</t>
      </text>
    </comment>
    <comment ref="G8" authorId="0" shapeId="0">
      <text>
        <t>[E] ~50% gross margin × $578M; consistent with reported NdPr selling prices</t>
      </text>
    </comment>
    <comment ref="H8" authorId="0" shapeId="0">
      <text>
        <t>LTM EBITDA US$211M per StockAnalysis.com</t>
      </text>
    </comment>
    <comment ref="I8" authorId="0" shapeId="0">
      <text>
        <t>H1 FY26 net income A$80.2M ≈ US$53M (annualized US$106M); using H1 as TTM proxy ≈ $80M</t>
      </text>
    </comment>
    <comment ref="J8" authorId="0" shapeId="0">
      <text>
        <t>FY26 NdPr oxide volume forecast 8,800 MT (+35% YoY) per S&amp;P Global, Dec 2025</t>
      </text>
    </comment>
    <comment ref="C9" authorId="0" shapeId="0">
      <text>
        <t>[E] Approx mkt cap May 2026 (uranium+REE mid-cap)</t>
      </text>
    </comment>
    <comment ref="D9" authorId="0" shapeId="0">
      <text>
        <t>[E] Net cash position; from UUUU Q1'26 press release</t>
      </text>
    </comment>
    <comment ref="E9" authorId="0" shapeId="0">
      <text>
        <t>[E] TTM revenue ~$70M (primarily uranium; REE pre-commercial)</t>
      </text>
    </comment>
    <comment ref="F9" authorId="0" shapeId="0">
      <text>
        <t>Mixed seg.; NM — uranium-driven, REE segment pre-rev</t>
      </text>
    </comment>
    <comment ref="G9" authorId="0" shapeId="0">
      <text>
        <t>NM at current scale</t>
      </text>
    </comment>
    <comment ref="H9" authorId="0" shapeId="0">
      <text>
        <t>[E] Negative TTM EBITDA on capex spend</t>
      </text>
    </comment>
    <comment ref="I9" authorId="0" shapeId="0">
      <text>
        <t>[E] Net loss TTM</t>
      </text>
    </comment>
    <comment ref="J9" authorId="0" shapeId="0">
      <text>
        <t>Planned NdPr capacity per Phase 2 BFS, Jan 2026 (6,000 tpa NdPr + 240 Dy + 66 Tb)</t>
      </text>
    </comment>
    <comment ref="C10" authorId="0" shapeId="0">
      <text>
        <t>[E] At $24.39 stock price May 2026 × shares post-PIPE</t>
      </text>
    </comment>
    <comment ref="D10" authorId="0" shapeId="0">
      <text>
        <t>Net cash; $1.5B PIPE closed (Inflection Point anchor)</t>
      </text>
    </comment>
    <comment ref="E10" authorId="0" shapeId="0">
      <text>
        <t>[E] Pre-commercial; magnet line commercial Q2'26</t>
      </text>
    </comment>
    <comment ref="F10" authorId="0" shapeId="0">
      <text>
        <t>Pre-revenue scale</t>
      </text>
    </comment>
    <comment ref="G10" authorId="0" shapeId="0">
      <text>
        <t>NM</t>
      </text>
    </comment>
    <comment ref="H10" authorId="0" shapeId="0">
      <text>
        <t>[E] Operating loss on build phase</t>
      </text>
    </comment>
    <comment ref="I10" authorId="0" shapeId="0">
      <text>
        <t>[E] Net loss</t>
      </text>
    </comment>
    <comment ref="J10" authorId="0" shapeId="0">
      <text>
        <t>Magnet line nameplate (sintered NdFeB), Stillwater OK; no oxide capacity</t>
      </text>
    </comment>
    <comment ref="C11" authorId="0" shapeId="0">
      <text>
        <t>[E] Approx US$11.5B mkt cap May 2026 (SHA: 600111 at recent prices)</t>
      </text>
    </comment>
    <comment ref="D11" authorId="0" shapeId="0">
      <text>
        <t>[E] Modest net debt; state-controlled balance sheet</t>
      </text>
    </comment>
    <comment ref="E11" authorId="0" shapeId="0">
      <text>
        <t>FY25 revenue ¥42.563B (+29% YoY) per SMM; ÷7.2 = US$5,910M</t>
      </text>
    </comment>
    <comment ref="F11" authorId="0" shapeId="0">
      <text>
        <t>FY25 revenue growth per SMM</t>
      </text>
    </comment>
    <comment ref="G11" authorId="0" shapeId="0">
      <text>
        <t>[E] ~20% gross margin × $5,910M (per industry norms for integrated REE producer)</t>
      </text>
    </comment>
    <comment ref="H11" authorId="0" shapeId="0">
      <text>
        <t>[E] ~12% EBITDA margin × $5,910M; consistent with $313M net income + D&amp;A + tax</t>
      </text>
    </comment>
    <comment ref="I11" authorId="0" shapeId="0">
      <text>
        <t>FY25 NI ¥2.251B (+124% YoY) per SMM; ÷7.2 = US$313M</t>
      </text>
    </comment>
    <comment ref="J11" authorId="0" shapeId="0">
      <text>
        <t>[E] Industry-leading position; &gt;60% global REE supply per Discovery Alert / Farmonaut</t>
      </text>
    </comment>
    <comment ref="C12" authorId="0" shapeId="0">
      <text>
        <t>[E] At $193.58 stock price (Apr 2026 close) × ~117M shares</t>
      </text>
    </comment>
    <comment ref="D12" authorId="0" shapeId="0">
      <text>
        <t>[E] Net debt position; from recent 10-Q</t>
      </text>
    </comment>
    <comment ref="E12" authorId="0" shapeId="0">
      <text>
        <t>FY26 guidance ~$5.85B per Q1'26 release</t>
      </text>
    </comment>
    <comment ref="F12" authorId="0" shapeId="0">
      <text>
        <t>Q1'26 revenue +32.67% YoY</t>
      </text>
    </comment>
    <comment ref="G12" authorId="0" shapeId="0">
      <text>
        <t>[E] ~25% gross margin × $5,850M</t>
      </text>
    </comment>
    <comment ref="H12" authorId="0" shapeId="0">
      <text>
        <t>FY26 EBITDA guidance ~$2.5B per Q1'26 release</t>
      </text>
    </comment>
    <comment ref="I12" authorId="0" shapeId="0">
      <text>
        <t>[E] Recovering lithium prices; modest profitability</t>
      </text>
    </comment>
    <comment ref="J12" authorId="0" shapeId="0">
      <text>
        <t>N/A — lithium / bromine producer, not REE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4" customWidth="1" min="5" max="5"/>
    <col width="13" customWidth="1" min="6" max="6"/>
    <col width="14" customWidth="1" min="7" max="7"/>
    <col width="14" customWidth="1" min="8" max="8"/>
    <col width="16" customWidth="1" min="9" max="9"/>
    <col width="16" customWidth="1" min="10" max="10"/>
    <col width="36" customWidth="1" min="11" max="11"/>
  </cols>
  <sheetData>
    <row r="1">
      <c r="A1" s="1" t="inlineStr">
        <is>
          <t>RARE EARTHS &amp; CRITICAL MINERALS — COMPARABLE COMPANY ANALYSIS</t>
        </is>
      </c>
    </row>
    <row r="2">
      <c r="A2" s="2" t="inlineStr">
        <is>
          <t>MP Materials (NYSE: MP) • Lynas Rare Earths (ASX: LYC) • Energy Fuels (NYSE: UUUU) • USA Rare Earth (Nasdaq: USAR) • China Northern Rare Earth (SHA: 600111) • Albemarle (NYSE: ALB)</t>
        </is>
      </c>
    </row>
    <row r="3">
      <c r="A3" s="3" t="inlineStr">
        <is>
          <t>As of May 2026 | All figures in USD Millions except ratios and capacity (MT/yr)</t>
        </is>
      </c>
    </row>
    <row r="5">
      <c r="A5" s="1" t="inlineStr">
        <is>
          <t>RAW INPUTS — cell comments cite source / assumption</t>
        </is>
      </c>
    </row>
    <row r="6">
      <c r="A6" s="4" t="inlineStr">
        <is>
          <t>Company</t>
        </is>
      </c>
      <c r="B6" s="4" t="inlineStr">
        <is>
          <t>Ticker</t>
        </is>
      </c>
      <c r="C6" s="4" t="inlineStr">
        <is>
          <t>Mkt Cap</t>
        </is>
      </c>
      <c r="D6" s="4" t="inlineStr">
        <is>
          <t>Net Debt</t>
        </is>
      </c>
      <c r="E6" s="4" t="inlineStr">
        <is>
          <t>Revenue (TTM)</t>
        </is>
      </c>
      <c r="F6" s="4" t="inlineStr">
        <is>
          <t>Rev Growth %</t>
        </is>
      </c>
      <c r="G6" s="4" t="inlineStr">
        <is>
          <t>Gross Profit</t>
        </is>
      </c>
      <c r="H6" s="4" t="inlineStr">
        <is>
          <t>EBITDA (TTM)</t>
        </is>
      </c>
      <c r="I6" s="4" t="inlineStr">
        <is>
          <t>Net Income (TTM)</t>
        </is>
      </c>
      <c r="J6" s="4" t="inlineStr">
        <is>
          <t>NdPr Cap (MT/yr)</t>
        </is>
      </c>
      <c r="K6" s="4" t="inlineStr">
        <is>
          <t>Notes</t>
        </is>
      </c>
    </row>
    <row r="7">
      <c r="A7" s="5" t="inlineStr">
        <is>
          <t>MP Materials</t>
        </is>
      </c>
      <c r="B7" s="6" t="inlineStr">
        <is>
          <t>NYSE: MP</t>
        </is>
      </c>
      <c r="C7" s="7" t="n">
        <v>9810</v>
      </c>
      <c r="D7" s="7" t="n">
        <v>200</v>
      </c>
      <c r="E7" s="7" t="n">
        <v>275</v>
      </c>
      <c r="F7" s="8" t="n">
        <v>0.49</v>
      </c>
      <c r="G7" s="7" t="n">
        <v>83</v>
      </c>
      <c r="H7" s="7" t="n">
        <v>-53</v>
      </c>
      <c r="I7" s="7" t="n">
        <v>-86</v>
      </c>
      <c r="J7" s="7" t="n">
        <v>6000</v>
      </c>
      <c r="K7" s="9" t="inlineStr">
        <is>
          <t>Contains [E] estimates — see cell comments</t>
        </is>
      </c>
    </row>
    <row r="8">
      <c r="A8" s="5" t="inlineStr">
        <is>
          <t>Lynas Rare Earths</t>
        </is>
      </c>
      <c r="B8" s="6" t="inlineStr">
        <is>
          <t>ASX: LYC</t>
        </is>
      </c>
      <c r="C8" s="7" t="n">
        <v>10800</v>
      </c>
      <c r="D8" s="7" t="n">
        <v>0</v>
      </c>
      <c r="E8" s="7" t="n">
        <v>578</v>
      </c>
      <c r="F8" s="8" t="n">
        <v>1.15</v>
      </c>
      <c r="G8" s="7" t="n">
        <v>289</v>
      </c>
      <c r="H8" s="7" t="n">
        <v>211</v>
      </c>
      <c r="I8" s="7" t="n">
        <v>80</v>
      </c>
      <c r="J8" s="7" t="n">
        <v>8800</v>
      </c>
      <c r="K8" s="9" t="inlineStr">
        <is>
          <t>Contains [E] estimates — see cell comments</t>
        </is>
      </c>
    </row>
    <row r="9">
      <c r="A9" s="5" t="inlineStr">
        <is>
          <t>Energy Fuels</t>
        </is>
      </c>
      <c r="B9" s="6" t="inlineStr">
        <is>
          <t>NYSE: UUUU</t>
        </is>
      </c>
      <c r="C9" s="7" t="n">
        <v>1500</v>
      </c>
      <c r="D9" s="7" t="n">
        <v>-50</v>
      </c>
      <c r="E9" s="7" t="n">
        <v>70</v>
      </c>
      <c r="F9" s="3" t="inlineStr">
        <is>
          <t>N/A</t>
        </is>
      </c>
      <c r="G9" s="3" t="inlineStr">
        <is>
          <t>N/A</t>
        </is>
      </c>
      <c r="H9" s="7" t="n">
        <v>-30</v>
      </c>
      <c r="I9" s="7" t="n">
        <v>-50</v>
      </c>
      <c r="J9" s="7" t="n">
        <v>6000</v>
      </c>
      <c r="K9" s="9" t="inlineStr">
        <is>
          <t>Contains [E] estimates — see cell comments</t>
        </is>
      </c>
    </row>
    <row r="10">
      <c r="A10" s="5" t="inlineStr">
        <is>
          <t>USA Rare Earth</t>
        </is>
      </c>
      <c r="B10" s="6" t="inlineStr">
        <is>
          <t>Nasdaq: USAR</t>
        </is>
      </c>
      <c r="C10" s="7" t="n">
        <v>1000</v>
      </c>
      <c r="D10" s="7" t="n">
        <v>-1500</v>
      </c>
      <c r="E10" s="7" t="n">
        <v>5</v>
      </c>
      <c r="F10" s="3" t="inlineStr">
        <is>
          <t>N/A</t>
        </is>
      </c>
      <c r="G10" s="3" t="inlineStr">
        <is>
          <t>N/A</t>
        </is>
      </c>
      <c r="H10" s="7" t="n">
        <v>-20</v>
      </c>
      <c r="I10" s="7" t="n">
        <v>-30</v>
      </c>
      <c r="J10" s="7" t="n">
        <v>1200</v>
      </c>
      <c r="K10" s="9" t="inlineStr">
        <is>
          <t>Contains [E] estimates — see cell comments</t>
        </is>
      </c>
    </row>
    <row r="11">
      <c r="A11" s="5" t="inlineStr">
        <is>
          <t>China Northern Rare Earth</t>
        </is>
      </c>
      <c r="B11" s="6" t="inlineStr">
        <is>
          <t>SHA: 600111</t>
        </is>
      </c>
      <c r="C11" s="7" t="n">
        <v>11500</v>
      </c>
      <c r="D11" s="7" t="n">
        <v>1000</v>
      </c>
      <c r="E11" s="7" t="n">
        <v>5910</v>
      </c>
      <c r="F11" s="8" t="n">
        <v>0.29</v>
      </c>
      <c r="G11" s="7" t="n">
        <v>1182</v>
      </c>
      <c r="H11" s="7" t="n">
        <v>700</v>
      </c>
      <c r="I11" s="7" t="n">
        <v>313</v>
      </c>
      <c r="J11" s="7" t="n">
        <v>60000</v>
      </c>
      <c r="K11" s="9" t="inlineStr">
        <is>
          <t>Contains [E] estimates — see cell comments</t>
        </is>
      </c>
    </row>
    <row r="12">
      <c r="A12" s="5" t="inlineStr">
        <is>
          <t>Albemarle</t>
        </is>
      </c>
      <c r="B12" s="6" t="inlineStr">
        <is>
          <t>NYSE: ALB</t>
        </is>
      </c>
      <c r="C12" s="7" t="n">
        <v>22700</v>
      </c>
      <c r="D12" s="7" t="n">
        <v>2300</v>
      </c>
      <c r="E12" s="7" t="n">
        <v>5850</v>
      </c>
      <c r="F12" s="8" t="n">
        <v>0.33</v>
      </c>
      <c r="G12" s="7" t="n">
        <v>1463</v>
      </c>
      <c r="H12" s="7" t="n">
        <v>2500</v>
      </c>
      <c r="I12" s="7" t="n">
        <v>200</v>
      </c>
      <c r="J12" s="7" t="n">
        <v>0</v>
      </c>
      <c r="K12" s="9" t="inlineStr">
        <is>
          <t>Contains [E] estimates — see cell comments</t>
        </is>
      </c>
    </row>
  </sheetData>
  <mergeCells count="4">
    <mergeCell ref="A2:K2"/>
    <mergeCell ref="A1:K1"/>
    <mergeCell ref="A5:K5"/>
    <mergeCell ref="A3:K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OPERATING STATISTICS &amp; FINANCIAL METRICS</t>
        </is>
      </c>
    </row>
    <row r="2">
      <c r="A2" s="3" t="inlineStr">
        <is>
          <t>All figures USD Millions except margins/growth. Formulas reference Inputs tab.</t>
        </is>
      </c>
    </row>
    <row r="4">
      <c r="A4" s="4" t="inlineStr">
        <is>
          <t>Company</t>
        </is>
      </c>
      <c r="B4" s="4" t="inlineStr">
        <is>
          <t>Revenue (TTM)</t>
        </is>
      </c>
      <c r="C4" s="4" t="inlineStr">
        <is>
          <t>Rev Growth (YoY)</t>
        </is>
      </c>
      <c r="D4" s="4" t="inlineStr">
        <is>
          <t>Gross Profit</t>
        </is>
      </c>
      <c r="E4" s="4" t="inlineStr">
        <is>
          <t>Gross Margin</t>
        </is>
      </c>
      <c r="F4" s="4" t="inlineStr">
        <is>
          <t>EBITDA (TTM)</t>
        </is>
      </c>
      <c r="G4" s="4" t="inlineStr">
        <is>
          <t>EBITDA Margin</t>
        </is>
      </c>
    </row>
    <row r="5">
      <c r="A5" s="5" t="inlineStr">
        <is>
          <t>MP Materials</t>
        </is>
      </c>
      <c r="B5" s="10">
        <f>Inputs!E7</f>
        <v/>
      </c>
      <c r="C5" s="11">
        <f>IFERROR(Inputs!F7,"N/A")</f>
        <v/>
      </c>
      <c r="D5" s="10">
        <f>IFERROR(Inputs!G7,"N/A")</f>
        <v/>
      </c>
      <c r="E5" s="11">
        <f>IFERROR(Inputs!G7/Inputs!E7,"N/A")</f>
        <v/>
      </c>
      <c r="F5" s="10">
        <f>Inputs!H7</f>
        <v/>
      </c>
      <c r="G5" s="11">
        <f>IFERROR(Inputs!H7/Inputs!E7,"N/A")</f>
        <v/>
      </c>
    </row>
    <row r="6">
      <c r="A6" s="5" t="inlineStr">
        <is>
          <t>Lynas Rare Earths</t>
        </is>
      </c>
      <c r="B6" s="10">
        <f>Inputs!E8</f>
        <v/>
      </c>
      <c r="C6" s="11">
        <f>IFERROR(Inputs!F8,"N/A")</f>
        <v/>
      </c>
      <c r="D6" s="10">
        <f>IFERROR(Inputs!G8,"N/A")</f>
        <v/>
      </c>
      <c r="E6" s="11">
        <f>IFERROR(Inputs!G8/Inputs!E8,"N/A")</f>
        <v/>
      </c>
      <c r="F6" s="10">
        <f>Inputs!H8</f>
        <v/>
      </c>
      <c r="G6" s="11">
        <f>IFERROR(Inputs!H8/Inputs!E8,"N/A")</f>
        <v/>
      </c>
    </row>
    <row r="7">
      <c r="A7" s="5" t="inlineStr">
        <is>
          <t>Energy Fuels</t>
        </is>
      </c>
      <c r="B7" s="10">
        <f>Inputs!E9</f>
        <v/>
      </c>
      <c r="C7" s="11">
        <f>IFERROR(Inputs!F9,"N/A")</f>
        <v/>
      </c>
      <c r="D7" s="10">
        <f>IFERROR(Inputs!G9,"N/A")</f>
        <v/>
      </c>
      <c r="E7" s="11">
        <f>IFERROR(Inputs!G9/Inputs!E9,"N/A")</f>
        <v/>
      </c>
      <c r="F7" s="10">
        <f>Inputs!H9</f>
        <v/>
      </c>
      <c r="G7" s="11">
        <f>IFERROR(Inputs!H9/Inputs!E9,"N/A")</f>
        <v/>
      </c>
    </row>
    <row r="8">
      <c r="A8" s="5" t="inlineStr">
        <is>
          <t>USA Rare Earth</t>
        </is>
      </c>
      <c r="B8" s="10">
        <f>Inputs!E10</f>
        <v/>
      </c>
      <c r="C8" s="11">
        <f>IFERROR(Inputs!F10,"N/A")</f>
        <v/>
      </c>
      <c r="D8" s="10">
        <f>IFERROR(Inputs!G10,"N/A")</f>
        <v/>
      </c>
      <c r="E8" s="11">
        <f>IFERROR(Inputs!G10/Inputs!E10,"N/A")</f>
        <v/>
      </c>
      <c r="F8" s="10">
        <f>Inputs!H10</f>
        <v/>
      </c>
      <c r="G8" s="11">
        <f>IFERROR(Inputs!H10/Inputs!E10,"N/A")</f>
        <v/>
      </c>
    </row>
    <row r="9">
      <c r="A9" s="5" t="inlineStr">
        <is>
          <t>China Northern Rare Earth</t>
        </is>
      </c>
      <c r="B9" s="10">
        <f>Inputs!E11</f>
        <v/>
      </c>
      <c r="C9" s="11">
        <f>IFERROR(Inputs!F11,"N/A")</f>
        <v/>
      </c>
      <c r="D9" s="10">
        <f>IFERROR(Inputs!G11,"N/A")</f>
        <v/>
      </c>
      <c r="E9" s="11">
        <f>IFERROR(Inputs!G11/Inputs!E11,"N/A")</f>
        <v/>
      </c>
      <c r="F9" s="10">
        <f>Inputs!H11</f>
        <v/>
      </c>
      <c r="G9" s="11">
        <f>IFERROR(Inputs!H11/Inputs!E11,"N/A")</f>
        <v/>
      </c>
    </row>
    <row r="10">
      <c r="A10" s="5" t="inlineStr">
        <is>
          <t>Albemarle</t>
        </is>
      </c>
      <c r="B10" s="10">
        <f>Inputs!E12</f>
        <v/>
      </c>
      <c r="C10" s="11">
        <f>IFERROR(Inputs!F12,"N/A")</f>
        <v/>
      </c>
      <c r="D10" s="10">
        <f>IFERROR(Inputs!G12,"N/A")</f>
        <v/>
      </c>
      <c r="E10" s="11">
        <f>IFERROR(Inputs!G12/Inputs!E12,"N/A")</f>
        <v/>
      </c>
      <c r="F10" s="10">
        <f>Inputs!H12</f>
        <v/>
      </c>
      <c r="G10" s="11">
        <f>IFERROR(Inputs!H12/Inputs!E12,"N/A")</f>
        <v/>
      </c>
    </row>
    <row r="12">
      <c r="A12" s="12" t="inlineStr">
        <is>
          <t>Maximum</t>
        </is>
      </c>
      <c r="B12" s="13" t="inlineStr"/>
      <c r="C12" s="14">
        <f>MAX(C5:C10)</f>
        <v/>
      </c>
      <c r="D12" s="13" t="inlineStr"/>
      <c r="E12" s="14">
        <f>MAX(E5:E10)</f>
        <v/>
      </c>
      <c r="F12" s="13" t="inlineStr"/>
      <c r="G12" s="14">
        <f>MAX(G5:G10)</f>
        <v/>
      </c>
    </row>
    <row r="13">
      <c r="A13" s="12" t="inlineStr">
        <is>
          <t>75th Percentile</t>
        </is>
      </c>
      <c r="B13" s="13" t="inlineStr"/>
      <c r="C13" s="14">
        <f>QUARTILE(C5:C10,3)</f>
        <v/>
      </c>
      <c r="D13" s="13" t="inlineStr"/>
      <c r="E13" s="14">
        <f>QUARTILE(E5:E10,3)</f>
        <v/>
      </c>
      <c r="F13" s="13" t="inlineStr"/>
      <c r="G13" s="14">
        <f>QUARTILE(G5:G10,3)</f>
        <v/>
      </c>
    </row>
    <row r="14">
      <c r="A14" s="12" t="inlineStr">
        <is>
          <t>Median</t>
        </is>
      </c>
      <c r="B14" s="13" t="inlineStr"/>
      <c r="C14" s="14">
        <f>MEDIAN(C5:C10)</f>
        <v/>
      </c>
      <c r="D14" s="13" t="inlineStr"/>
      <c r="E14" s="14">
        <f>MEDIAN(E5:E10)</f>
        <v/>
      </c>
      <c r="F14" s="13" t="inlineStr"/>
      <c r="G14" s="14">
        <f>MEDIAN(G5:G10)</f>
        <v/>
      </c>
    </row>
    <row r="15">
      <c r="A15" s="12" t="inlineStr">
        <is>
          <t>25th Percentile</t>
        </is>
      </c>
      <c r="B15" s="13" t="inlineStr"/>
      <c r="C15" s="14">
        <f>QUARTILE(C5:C10,1)</f>
        <v/>
      </c>
      <c r="D15" s="13" t="inlineStr"/>
      <c r="E15" s="14">
        <f>QUARTILE(E5:E10,1)</f>
        <v/>
      </c>
      <c r="F15" s="13" t="inlineStr"/>
      <c r="G15" s="14">
        <f>QUARTILE(G5:G10,1)</f>
        <v/>
      </c>
    </row>
    <row r="16">
      <c r="A16" s="12" t="inlineStr">
        <is>
          <t>Minimum</t>
        </is>
      </c>
      <c r="B16" s="13" t="inlineStr"/>
      <c r="C16" s="14">
        <f>MIN(C5:C10)</f>
        <v/>
      </c>
      <c r="D16" s="13" t="inlineStr"/>
      <c r="E16" s="14">
        <f>MIN(E5:E10)</f>
        <v/>
      </c>
      <c r="F16" s="13" t="inlineStr"/>
      <c r="G16" s="14">
        <f>MIN(G5:G10)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50" customWidth="1" min="7" max="7"/>
  </cols>
  <sheetData>
    <row r="1">
      <c r="A1" s="1" t="inlineStr">
        <is>
          <t>VALUATION MULTIPLES</t>
        </is>
      </c>
    </row>
    <row r="2">
      <c r="A2" s="3" t="inlineStr">
        <is>
          <t>EV = Mkt Cap + Net Debt. NM ("not meaningful") shown for negative denominators.</t>
        </is>
      </c>
    </row>
    <row r="4">
      <c r="A4" s="4" t="inlineStr">
        <is>
          <t>Company</t>
        </is>
      </c>
      <c r="B4" s="4" t="inlineStr">
        <is>
          <t>Mkt Cap</t>
        </is>
      </c>
      <c r="C4" s="4" t="inlineStr">
        <is>
          <t>EV</t>
        </is>
      </c>
      <c r="D4" s="4" t="inlineStr">
        <is>
          <t>EV / Rev</t>
        </is>
      </c>
      <c r="E4" s="4" t="inlineStr">
        <is>
          <t>EV / EBITDA</t>
        </is>
      </c>
      <c r="F4" s="4" t="inlineStr">
        <is>
          <t>P / E (TTM)</t>
        </is>
      </c>
      <c r="G4" s="4" t="inlineStr">
        <is>
          <t>Comment</t>
        </is>
      </c>
    </row>
    <row r="5">
      <c r="A5" s="5" t="inlineStr">
        <is>
          <t>MP Materials</t>
        </is>
      </c>
      <c r="B5" s="10">
        <f>Inputs!C7</f>
        <v/>
      </c>
      <c r="C5" s="10">
        <f>Inputs!C7+Inputs!D7</f>
        <v/>
      </c>
      <c r="D5" s="15">
        <f>IFERROR((Inputs!C7+Inputs!D7)/Inputs!E7,"NM")</f>
        <v/>
      </c>
      <c r="E5" s="15">
        <f>IF(Inputs!H7&gt;0,(Inputs!C7+Inputs!D7)/Inputs!H7,"NM")</f>
        <v/>
      </c>
      <c r="F5" s="15">
        <f>IF(Inputs!I7&gt;0,Inputs!C7/Inputs!I7,"NM")</f>
        <v/>
      </c>
      <c r="G5" s="16" t="inlineStr">
        <is>
          <t>Negative TTM EBITDA → NM; richly priced on revenue; Q1'26 Adj EBITDA inflecting +</t>
        </is>
      </c>
    </row>
    <row r="6">
      <c r="A6" s="5" t="inlineStr">
        <is>
          <t>Lynas Rare Earths</t>
        </is>
      </c>
      <c r="B6" s="10">
        <f>Inputs!C8</f>
        <v/>
      </c>
      <c r="C6" s="10">
        <f>Inputs!C8+Inputs!D8</f>
        <v/>
      </c>
      <c r="D6" s="15">
        <f>IFERROR((Inputs!C8+Inputs!D8)/Inputs!E8,"NM")</f>
        <v/>
      </c>
      <c r="E6" s="15">
        <f>IF(Inputs!H8&gt;0,(Inputs!C8+Inputs!D8)/Inputs!H8,"NM")</f>
        <v/>
      </c>
      <c r="F6" s="15">
        <f>IF(Inputs!I8&gt;0,Inputs!C8/Inputs!I8,"NM")</f>
        <v/>
      </c>
      <c r="G6" s="16" t="inlineStr">
        <is>
          <t>Most expensive Western on EV/EBITDA; cheaper than MP on EV/Rev</t>
        </is>
      </c>
    </row>
    <row r="7">
      <c r="A7" s="5" t="inlineStr">
        <is>
          <t>Energy Fuels</t>
        </is>
      </c>
      <c r="B7" s="10">
        <f>Inputs!C9</f>
        <v/>
      </c>
      <c r="C7" s="10">
        <f>Inputs!C9+Inputs!D9</f>
        <v/>
      </c>
      <c r="D7" s="15">
        <f>IFERROR((Inputs!C9+Inputs!D9)/Inputs!E9,"NM")</f>
        <v/>
      </c>
      <c r="E7" s="15">
        <f>IF(Inputs!H9&gt;0,(Inputs!C9+Inputs!D9)/Inputs!H9,"NM")</f>
        <v/>
      </c>
      <c r="F7" s="15">
        <f>IF(Inputs!I9&gt;0,Inputs!C9/Inputs!I9,"NM")</f>
        <v/>
      </c>
      <c r="G7" s="16" t="inlineStr">
        <is>
          <t>Pre-meaningful-scale; valuation lens is capacity (see REE-Specific tab)</t>
        </is>
      </c>
    </row>
    <row r="8">
      <c r="A8" s="5" t="inlineStr">
        <is>
          <t>USA Rare Earth</t>
        </is>
      </c>
      <c r="B8" s="10">
        <f>Inputs!C10</f>
        <v/>
      </c>
      <c r="C8" s="10">
        <f>Inputs!C10+Inputs!D10</f>
        <v/>
      </c>
      <c r="D8" s="15">
        <f>IFERROR((Inputs!C10+Inputs!D10)/Inputs!E10,"NM")</f>
        <v/>
      </c>
      <c r="E8" s="15">
        <f>IF(Inputs!H10&gt;0,(Inputs!C10+Inputs!D10)/Inputs!H10,"NM")</f>
        <v/>
      </c>
      <c r="F8" s="15">
        <f>IF(Inputs!I10&gt;0,Inputs!C10/Inputs!I10,"NM")</f>
        <v/>
      </c>
      <c r="G8" s="16" t="inlineStr">
        <is>
          <t>Pre-rev magnet pure-play; valuation = optionality on US magnet supply</t>
        </is>
      </c>
    </row>
    <row r="9">
      <c r="A9" s="5" t="inlineStr">
        <is>
          <t>China Northern Rare Earth</t>
        </is>
      </c>
      <c r="B9" s="10">
        <f>Inputs!C11</f>
        <v/>
      </c>
      <c r="C9" s="10">
        <f>Inputs!C11+Inputs!D11</f>
        <v/>
      </c>
      <c r="D9" s="15">
        <f>IFERROR((Inputs!C11+Inputs!D11)/Inputs!E11,"NM")</f>
        <v/>
      </c>
      <c r="E9" s="15">
        <f>IF(Inputs!H11&gt;0,(Inputs!C11+Inputs!D11)/Inputs!H11,"NM")</f>
        <v/>
      </c>
      <c r="F9" s="15">
        <f>IF(Inputs!I11&gt;0,Inputs!C11/Inputs!I11,"NM")</f>
        <v/>
      </c>
      <c r="G9" s="16" t="inlineStr">
        <is>
          <t>Cheapest on EV/Rev; un-investable for many Western mandates due to geopolitical risk</t>
        </is>
      </c>
    </row>
    <row r="10">
      <c r="A10" s="5" t="inlineStr">
        <is>
          <t>Albemarle</t>
        </is>
      </c>
      <c r="B10" s="10">
        <f>Inputs!C12</f>
        <v/>
      </c>
      <c r="C10" s="10">
        <f>Inputs!C12+Inputs!D12</f>
        <v/>
      </c>
      <c r="D10" s="15">
        <f>IFERROR((Inputs!C12+Inputs!D12)/Inputs!E12,"NM")</f>
        <v/>
      </c>
      <c r="E10" s="15">
        <f>IF(Inputs!H12&gt;0,(Inputs!C12+Inputs!D12)/Inputs!H12,"NM")</f>
        <v/>
      </c>
      <c r="F10" s="15">
        <f>IF(Inputs!I12&gt;0,Inputs!C12/Inputs!I12,"NM")</f>
        <v/>
      </c>
      <c r="G10" s="16" t="inlineStr">
        <is>
          <t>Adjacent commodity (lithium, not REE); included as critical-minerals context</t>
        </is>
      </c>
    </row>
    <row r="12">
      <c r="A12" s="12" t="inlineStr">
        <is>
          <t>Maximum</t>
        </is>
      </c>
      <c r="B12" s="13" t="inlineStr"/>
      <c r="C12" s="13" t="inlineStr"/>
      <c r="D12" s="17">
        <f>MAX(D5:D10)</f>
        <v/>
      </c>
      <c r="E12" s="17">
        <f>MAX(E5:E10)</f>
        <v/>
      </c>
      <c r="F12" s="17">
        <f>MAX(F5:F10)</f>
        <v/>
      </c>
      <c r="G12" s="13" t="inlineStr"/>
    </row>
    <row r="13">
      <c r="A13" s="12" t="inlineStr">
        <is>
          <t>75th Percentile</t>
        </is>
      </c>
      <c r="B13" s="13" t="inlineStr"/>
      <c r="C13" s="13" t="inlineStr"/>
      <c r="D13" s="17">
        <f>QUARTILE(D5:D10,3)</f>
        <v/>
      </c>
      <c r="E13" s="17">
        <f>QUARTILE(E5:E10,3)</f>
        <v/>
      </c>
      <c r="F13" s="17">
        <f>QUARTILE(F5:F10,3)</f>
        <v/>
      </c>
      <c r="G13" s="13" t="inlineStr"/>
    </row>
    <row r="14">
      <c r="A14" s="12" t="inlineStr">
        <is>
          <t>Median</t>
        </is>
      </c>
      <c r="B14" s="13" t="inlineStr"/>
      <c r="C14" s="13" t="inlineStr"/>
      <c r="D14" s="17">
        <f>MEDIAN(D5:D10)</f>
        <v/>
      </c>
      <c r="E14" s="17">
        <f>MEDIAN(E5:E10)</f>
        <v/>
      </c>
      <c r="F14" s="17">
        <f>MEDIAN(F5:F10)</f>
        <v/>
      </c>
      <c r="G14" s="13" t="inlineStr"/>
    </row>
    <row r="15">
      <c r="A15" s="12" t="inlineStr">
        <is>
          <t>25th Percentile</t>
        </is>
      </c>
      <c r="B15" s="13" t="inlineStr"/>
      <c r="C15" s="13" t="inlineStr"/>
      <c r="D15" s="17">
        <f>QUARTILE(D5:D10,1)</f>
        <v/>
      </c>
      <c r="E15" s="17">
        <f>QUARTILE(E5:E10,1)</f>
        <v/>
      </c>
      <c r="F15" s="17">
        <f>QUARTILE(F5:F10,1)</f>
        <v/>
      </c>
      <c r="G15" s="13" t="inlineStr"/>
    </row>
    <row r="16">
      <c r="A16" s="12" t="inlineStr">
        <is>
          <t>Minimum</t>
        </is>
      </c>
      <c r="B16" s="13" t="inlineStr"/>
      <c r="C16" s="13" t="inlineStr"/>
      <c r="D16" s="17">
        <f>MIN(D5:D10)</f>
        <v/>
      </c>
      <c r="E16" s="17">
        <f>MIN(E5:E10)</f>
        <v/>
      </c>
      <c r="F16" s="17">
        <f>MIN(F5:F10)</f>
        <v/>
      </c>
      <c r="G16" s="13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8" customWidth="1" min="4" max="4"/>
    <col width="50" customWidth="1" min="5" max="5"/>
    <col width="50" customWidth="1" min="6" max="6"/>
  </cols>
  <sheetData>
    <row r="1">
      <c r="A1" s="1" t="inlineStr">
        <is>
          <t>RARE-EARTH-SPECIFIC METRICS — Capacity-Based Valuation</t>
        </is>
      </c>
    </row>
    <row r="2">
      <c r="A2" s="3" t="inlineStr">
        <is>
          <t>When EBITDA is negative or scaling, capacity multiples are the cleaner comparable.</t>
        </is>
      </c>
    </row>
    <row r="4">
      <c r="A4" s="4" t="inlineStr">
        <is>
          <t>Company</t>
        </is>
      </c>
      <c r="B4" s="4" t="inlineStr">
        <is>
          <t>EV ($M)</t>
        </is>
      </c>
      <c r="C4" s="4" t="inlineStr">
        <is>
          <t>NdPr Capacity (MT/yr)</t>
        </is>
      </c>
      <c r="D4" s="4" t="inlineStr">
        <is>
          <t>EV per MT/yr ($M)</t>
        </is>
      </c>
      <c r="E4" s="4" t="inlineStr">
        <is>
          <t>Stage Reached</t>
        </is>
      </c>
      <c r="F4" s="4" t="inlineStr">
        <is>
          <t>Comment</t>
        </is>
      </c>
    </row>
    <row r="5">
      <c r="A5" s="5" t="inlineStr">
        <is>
          <t>MP Materials</t>
        </is>
      </c>
      <c r="B5" s="10">
        <f>Inputs!C7+Inputs!D7</f>
        <v/>
      </c>
      <c r="C5" s="10">
        <f>Inputs!J7</f>
        <v/>
      </c>
      <c r="D5" s="18">
        <f>IFERROR((Inputs!C7+Inputs!D7)/Inputs!J7,"N/A")</f>
        <v/>
      </c>
      <c r="E5" s="19" t="inlineStr">
        <is>
          <t>Mine → Sep + Stage III magnet under build (2028)</t>
        </is>
      </c>
      <c r="F5" s="16" t="inlineStr">
        <is>
          <t>Highest $/capacity in Western set — reflects DoD floor + magnet optionality embedded</t>
        </is>
      </c>
    </row>
    <row r="6">
      <c r="A6" s="5" t="inlineStr">
        <is>
          <t>Lynas Rare Earths</t>
        </is>
      </c>
      <c r="B6" s="10">
        <f>Inputs!C8+Inputs!D8</f>
        <v/>
      </c>
      <c r="C6" s="10">
        <f>Inputs!J8</f>
        <v/>
      </c>
      <c r="D6" s="18">
        <f>IFERROR((Inputs!C8+Inputs!D8)/Inputs!J8,"N/A")</f>
        <v/>
      </c>
      <c r="E6" s="19" t="inlineStr">
        <is>
          <t>Mine → Sep + Heavy REE (US Seadrift, 2026)</t>
        </is>
      </c>
      <c r="F6" s="16" t="inlineStr">
        <is>
          <t>Cheaper on capacity than MP; biggest non-China NdPr volume</t>
        </is>
      </c>
    </row>
    <row r="7">
      <c r="A7" s="5" t="inlineStr">
        <is>
          <t>Energy Fuels</t>
        </is>
      </c>
      <c r="B7" s="10">
        <f>Inputs!C9+Inputs!D9</f>
        <v/>
      </c>
      <c r="C7" s="10">
        <f>Inputs!J9</f>
        <v/>
      </c>
      <c r="D7" s="18">
        <f>IFERROR((Inputs!C9+Inputs!D9)/Inputs!J9,"N/A")</f>
        <v/>
      </c>
      <c r="E7" s="19" t="inlineStr">
        <is>
          <t>Processing — REE Phase 2 in BFS, FID Q4'26</t>
        </is>
      </c>
      <c r="F7" s="16" t="inlineStr"/>
    </row>
    <row r="8">
      <c r="A8" s="5" t="inlineStr">
        <is>
          <t>USA Rare Earth</t>
        </is>
      </c>
      <c r="B8" s="10">
        <f>Inputs!C10+Inputs!D10</f>
        <v/>
      </c>
      <c r="C8" s="10">
        <f>Inputs!J10</f>
        <v/>
      </c>
      <c r="D8" s="18">
        <f>IFERROR((Inputs!C10+Inputs!D10)/Inputs!J10,"N/A")</f>
        <v/>
      </c>
      <c r="E8" s="19" t="inlineStr">
        <is>
          <t>Magnet only (Stillwater OK, Q2'26 commercial)</t>
        </is>
      </c>
      <c r="F8" s="16" t="inlineStr"/>
    </row>
    <row r="9">
      <c r="A9" s="5" t="inlineStr">
        <is>
          <t>China Northern Rare Earth</t>
        </is>
      </c>
      <c r="B9" s="10">
        <f>Inputs!C11+Inputs!D11</f>
        <v/>
      </c>
      <c r="C9" s="10">
        <f>Inputs!J11</f>
        <v/>
      </c>
      <c r="D9" s="18">
        <f>IFERROR((Inputs!C11+Inputs!D11)/Inputs!J11,"N/A")</f>
        <v/>
      </c>
      <c r="E9" s="19" t="inlineStr">
        <is>
          <t>Mine → Magnet (fully integrated, state-owned)</t>
        </is>
      </c>
      <c r="F9" s="16" t="inlineStr">
        <is>
          <t>Lowest $/capacity globally — scale advantage of incumbent</t>
        </is>
      </c>
    </row>
    <row r="10">
      <c r="A10" s="5" t="inlineStr">
        <is>
          <t>Albemarle</t>
        </is>
      </c>
      <c r="B10" s="10">
        <f>Inputs!C12+Inputs!D12</f>
        <v/>
      </c>
      <c r="C10" s="10">
        <f>Inputs!J12</f>
        <v/>
      </c>
      <c r="D10" s="18">
        <f>IFERROR((Inputs!C12+Inputs!D12)/Inputs!J12,"N/A")</f>
        <v/>
      </c>
      <c r="E10" s="19" t="inlineStr">
        <is>
          <t>N/A — lithium / bromine producer</t>
        </is>
      </c>
      <c r="F10" s="16" t="inlineStr">
        <is>
          <t>N/A — different commodity</t>
        </is>
      </c>
    </row>
    <row r="12">
      <c r="A12" s="12" t="inlineStr">
        <is>
          <t>Maximum</t>
        </is>
      </c>
      <c r="B12" s="13" t="inlineStr"/>
      <c r="C12" s="13" t="inlineStr"/>
      <c r="D12" s="20">
        <f>MAX(D5:D10)</f>
        <v/>
      </c>
      <c r="E12" s="13" t="inlineStr"/>
      <c r="F12" s="13" t="inlineStr"/>
    </row>
    <row r="13">
      <c r="A13" s="12" t="inlineStr">
        <is>
          <t>75th Percentile</t>
        </is>
      </c>
      <c r="B13" s="13" t="inlineStr"/>
      <c r="C13" s="13" t="inlineStr"/>
      <c r="D13" s="20">
        <f>QUARTILE(D5:D10,3)</f>
        <v/>
      </c>
      <c r="E13" s="13" t="inlineStr"/>
      <c r="F13" s="13" t="inlineStr"/>
    </row>
    <row r="14">
      <c r="A14" s="12" t="inlineStr">
        <is>
          <t>Median</t>
        </is>
      </c>
      <c r="B14" s="13" t="inlineStr"/>
      <c r="C14" s="13" t="inlineStr"/>
      <c r="D14" s="20">
        <f>MEDIAN(D5:D10)</f>
        <v/>
      </c>
      <c r="E14" s="13" t="inlineStr"/>
      <c r="F14" s="13" t="inlineStr"/>
    </row>
    <row r="15">
      <c r="A15" s="12" t="inlineStr">
        <is>
          <t>25th Percentile</t>
        </is>
      </c>
      <c r="B15" s="13" t="inlineStr"/>
      <c r="C15" s="13" t="inlineStr"/>
      <c r="D15" s="20">
        <f>QUARTILE(D5:D10,1)</f>
        <v/>
      </c>
      <c r="E15" s="13" t="inlineStr"/>
      <c r="F15" s="13" t="inlineStr"/>
    </row>
    <row r="16">
      <c r="A16" s="12" t="inlineStr">
        <is>
          <t>Minimum</t>
        </is>
      </c>
      <c r="B16" s="13" t="inlineStr"/>
      <c r="C16" s="13" t="inlineStr"/>
      <c r="D16" s="20">
        <f>MIN(D5:D10)</f>
        <v/>
      </c>
      <c r="E16" s="13" t="inlineStr"/>
      <c r="F16" s="13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NOTES, METHODOLOGY &amp; DATA-SOURCE CAVEATS</t>
        </is>
      </c>
    </row>
    <row r="3">
      <c r="A3" s="21" t="inlineStr">
        <is>
          <t>Data sources</t>
        </is>
      </c>
    </row>
    <row r="4" ht="18" customHeight="1">
      <c r="A4" s="22" t="inlineStr">
        <is>
          <t>MCP data sources (S&amp;P Kensho / CapIQ, FactSet, Daloopa) WERE NOT USED — the FSI plugin connectors were not configured in this environment.</t>
        </is>
      </c>
    </row>
    <row r="5" ht="18" customHeight="1">
      <c r="A5" s="22" t="inlineStr">
        <is>
          <t>Primary public sources: SEC EDGAR (10-Q FY2026 Q1 for MP, USAR), MP investor relations, Lynas reporting centre (H1 FY26, Q3 FY26),</t>
        </is>
      </c>
    </row>
    <row r="6" ht="18" customHeight="1">
      <c r="A6" s="22" t="inlineStr">
        <is>
          <t>StockAnalysis.com &amp; Yahoo Finance for market data, SMM / Discovery Alert for China Northern Rare Earth FY25 results.</t>
        </is>
      </c>
    </row>
    <row r="7" ht="18" customHeight="1">
      <c r="A7" s="22" t="inlineStr">
        <is>
          <t>Where required figures were not directly disclosed, an [E] estimate is shown with the assumption documented in the cell comment.</t>
        </is>
      </c>
    </row>
    <row r="9">
      <c r="A9" s="21" t="inlineStr">
        <is>
          <t>Period definitions</t>
        </is>
      </c>
    </row>
    <row r="10" ht="18" customHeight="1">
      <c r="A10" s="22" t="inlineStr">
        <is>
          <t>Revenue TTM: rolling four quarters where available; for MP, sum of Q2-Q4 2025 + Q1 2026.</t>
        </is>
      </c>
    </row>
    <row r="11" ht="18" customHeight="1">
      <c r="A11" s="22" t="inlineStr">
        <is>
          <t>For Lynas, US$ TTM derived from StockAnalysis (US$578M).</t>
        </is>
      </c>
    </row>
    <row r="12" ht="18" customHeight="1">
      <c r="A12" s="22" t="inlineStr">
        <is>
          <t>For Chinese peers, FY2025 reported figures used (calendar year) — CNY converted at 7.2 CNY/USD.</t>
        </is>
      </c>
    </row>
    <row r="13" ht="18" customHeight="1">
      <c r="A13" s="22" t="inlineStr">
        <is>
          <t>USAR is pre-commercial revenue — figures are placeholder.</t>
        </is>
      </c>
    </row>
    <row r="15">
      <c r="A15" s="21" t="inlineStr">
        <is>
          <t>Definitions</t>
        </is>
      </c>
    </row>
    <row r="16" ht="18" customHeight="1">
      <c r="A16" s="22" t="inlineStr">
        <is>
          <t>EV = Market Cap + Net Debt (where Net Debt = Total Debt − Cash). Negative Net Debt = net cash position.</t>
        </is>
      </c>
    </row>
    <row r="17" ht="18" customHeight="1">
      <c r="A17" s="22" t="inlineStr">
        <is>
          <t>EBITDA: per-company reported, including the negative TTM figure for MP (Adj. EBITDA flipped positive in Q1 2026 +$36.6M).</t>
        </is>
      </c>
    </row>
    <row r="18" ht="18" customHeight="1">
      <c r="A18" s="22" t="inlineStr">
        <is>
          <t>NdPr Capacity: nameplate or near-term oxide production capacity in MT/yr. For USAR, magnet capacity (no oxide).</t>
        </is>
      </c>
    </row>
    <row r="19" ht="18" customHeight="1">
      <c r="A19" s="22" t="inlineStr">
        <is>
          <t>[NM] (not meaningful): multiple denominator is negative or zero — multiple is suppressed.</t>
        </is>
      </c>
    </row>
    <row r="21">
      <c r="A21" s="21" t="inlineStr">
        <is>
          <t>Industry-specific guidance</t>
        </is>
      </c>
    </row>
    <row r="22" ht="18" customHeight="1">
      <c r="A22" s="22" t="inlineStr">
        <is>
          <t>Standard EV/EBITDA, EV/Sales, and P/E are limited for this peer set due to negative or pre-scale earnings at multiple comps.</t>
        </is>
      </c>
    </row>
    <row r="23" ht="18" customHeight="1">
      <c r="A23" s="22" t="inlineStr">
        <is>
          <t>EV per MT/yr NdPr capacity (REE-Specific tab) is the cleaner cross-peer comparable for this industry.</t>
        </is>
      </c>
    </row>
    <row r="24" ht="18" customHeight="1">
      <c r="A24" s="22" t="inlineStr">
        <is>
          <t>The DoD price-protection agreement creates a structural asymmetry that no other peer enjoys — quantitative</t>
        </is>
      </c>
    </row>
    <row r="25" ht="18" customHeight="1">
      <c r="A25" s="22" t="inlineStr">
        <is>
          <t>multiples understate MP's downside protection vs. peers exposed to NdPr spot volatility.</t>
        </is>
      </c>
    </row>
    <row r="27">
      <c r="A27" s="21" t="inlineStr">
        <is>
          <t>Caveats &amp; limitations</t>
        </is>
      </c>
    </row>
    <row r="28" ht="18" customHeight="1">
      <c r="A28" s="22" t="inlineStr">
        <is>
          <t>1. Cell comments distinguish sourced figures from [E] estimates — review before using in a binding decision.</t>
        </is>
      </c>
    </row>
    <row r="29" ht="18" customHeight="1">
      <c r="A29" s="22" t="inlineStr">
        <is>
          <t>2. Chinese major valuation should be triangulated against a CNY-denominated reference; FX assumption is point-in-time.</t>
        </is>
      </c>
    </row>
    <row r="30" ht="18" customHeight="1">
      <c r="A30" s="22" t="inlineStr">
        <is>
          <t>3. Junior peers (UUUU, USAR) are valuation outliers — capacity-based multiples are more informative than P&amp;L-based.</t>
        </is>
      </c>
    </row>
    <row r="31" ht="18" customHeight="1">
      <c r="A31" s="22" t="inlineStr">
        <is>
          <t>4. This analysis is research, not investment advice. Cross-check against a primary terminal (Bloomberg, CapIQ, FactSet) before action.</t>
        </is>
      </c>
    </row>
    <row r="33">
      <c r="A33" s="21" t="inlineStr">
        <is>
          <t>Cross-references</t>
        </is>
      </c>
    </row>
    <row r="34" ht="18" customHeight="1">
      <c r="A34" s="22" t="inlineStr">
        <is>
          <t>Companion file: MP-Competitive-Analysis.pptx (slide deck per `competitive-analysis` skill).</t>
        </is>
      </c>
    </row>
    <row r="35" ht="18" customHeight="1">
      <c r="A35" s="22" t="inlineStr">
        <is>
          <t>Build script: build_comps.py — re-run to refresh after updating INPUTS dict.</t>
        </is>
      </c>
    </row>
  </sheetData>
  <mergeCells count="29">
    <mergeCell ref="A30:E30"/>
    <mergeCell ref="A34:E34"/>
    <mergeCell ref="A24:E24"/>
    <mergeCell ref="A15:E15"/>
    <mergeCell ref="A11:E11"/>
    <mergeCell ref="A1:E1"/>
    <mergeCell ref="A6:E6"/>
    <mergeCell ref="A16:E16"/>
    <mergeCell ref="A7:E7"/>
    <mergeCell ref="A25:E25"/>
    <mergeCell ref="A18:E18"/>
    <mergeCell ref="A27:E27"/>
    <mergeCell ref="A3:E3"/>
    <mergeCell ref="A21:E21"/>
    <mergeCell ref="A12:E12"/>
    <mergeCell ref="A33:E33"/>
    <mergeCell ref="A5:E5"/>
    <mergeCell ref="A23:E23"/>
    <mergeCell ref="A22:E22"/>
    <mergeCell ref="A17:E17"/>
    <mergeCell ref="A29:E29"/>
    <mergeCell ref="A4:E4"/>
    <mergeCell ref="A35:E35"/>
    <mergeCell ref="A10:E10"/>
    <mergeCell ref="A28:E28"/>
    <mergeCell ref="A19:E19"/>
    <mergeCell ref="A13:E13"/>
    <mergeCell ref="A31:E3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2026-05-22T02:36:53Z</dcterms:created>
  <dcterms:modified xmlns:dcterms="http://purl.org/dc/terms/" xmlns:xsi="http://www.w3.org/2001/XMLSchema-instance" xsi:type="dcterms:W3CDTF">2026-05-22T02:36:53Z</dcterms:modified>
</cp:coreProperties>
</file>