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perating Metric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Retail-Specific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i val="1"/>
      <color rgb="00595959"/>
      <sz val="10"/>
    </font>
    <font>
      <name val="Times New Roman"/>
      <color rgb="00000000"/>
      <sz val="11"/>
    </font>
    <font>
      <name val="Times New Roman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WMT comp analysis</author>
  </authors>
  <commentList>
    <comment ref="C7" authorId="0" shapeId="0">
      <text>
        <t>WMT ~$95/share × ~8.05B shares, May 2026 (~$765B)</t>
      </text>
    </comment>
    <comment ref="D7" authorId="0" shapeId="0">
      <text>
        <t>[E] Net debt ~$45B excl. operating leases, per FY26 Q1 10-Q balance sheet</t>
      </text>
    </comment>
    <comment ref="E7" authorId="0" shapeId="0">
      <text>
        <t>TTM revenue ~$685B (FY25 $681B + Q1 FY26 +6% YoY); WMT 10-K FY25 + Q1 FY26 release</t>
      </text>
    </comment>
    <comment ref="F7" authorId="0" shapeId="0">
      <text>
        <t>FY26 Q1 revenue growth ~+6% YoY (currency-neutral ~+5.4%) per WMT IR May 2026</t>
      </text>
    </comment>
    <comment ref="G7" authorId="0" shapeId="0">
      <text>
        <t>[E] Gross margin ~24.4% × $685B TTM (per Q1 FY26 release ~+25 bps YoY)</t>
      </text>
    </comment>
    <comment ref="H7" authorId="0" shapeId="0">
      <text>
        <t>[E] TTM EBITDA ~$45B (operating income $30B + D&amp;A ~$15B), per FY25 10-K + Q1 trend</t>
      </text>
    </comment>
    <comment ref="I7" authorId="0" shapeId="0">
      <text>
        <t>[E] TTM net income ~$17B per WMT IR + StockAnalysis</t>
      </text>
    </comment>
    <comment ref="J7" authorId="0" shapeId="0">
      <text>
        <t>WMT US comparable sales growth +4.5% (ex-fuel) FY26 Q1 per IR</t>
      </text>
    </comment>
    <comment ref="K7" authorId="0" shapeId="0">
      <text>
        <t>[E] WMT US e-commerce ~18% of US revenue, ~$110B run-rate per Q1 release</t>
      </text>
    </comment>
    <comment ref="L7" authorId="0" shapeId="0">
      <text>
        <t>[E] Walmart Connect ad revenue ~$5B run-rate (mgmt commentary; growing ~30% YoY)</t>
      </text>
    </comment>
    <comment ref="M7" authorId="0" shapeId="0">
      <text>
        <t>[E] Walmart+ + Sam's Club membership fees ~$3B (Sam's $2B + Walmart+ ~$1B)</t>
      </text>
    </comment>
    <comment ref="C8" authorId="0" shapeId="0">
      <text>
        <t>COST ~$945/share × ~444M shares, May 2026 (~$420B)</t>
      </text>
    </comment>
    <comment ref="D8" authorId="0" shapeId="0">
      <text>
        <t>Net cash position ~$3B per Q3 FY26 10-Q (cash $13B vs debt ~$10B)</t>
      </text>
    </comment>
    <comment ref="E8" authorId="0" shapeId="0">
      <text>
        <t>TTM revenue ~$270B (FY25 $254B + Q1-Q3 FY26 growth) per COST IR</t>
      </text>
    </comment>
    <comment ref="F8" authorId="0" shapeId="0">
      <text>
        <t>FY26 net sales growth ~+8% YoY per recent quarterly reports</t>
      </text>
    </comment>
    <comment ref="G8" authorId="0" shapeId="0">
      <text>
        <t>[E] Gross margin ~12.5% × $270B (membership accounts for most operating profit)</t>
      </text>
    </comment>
    <comment ref="H8" authorId="0" shapeId="0">
      <text>
        <t>[E] TTM EBITDA ~$13B (operating income ~$10.5B + D&amp;A ~$2.5B)</t>
      </text>
    </comment>
    <comment ref="I8" authorId="0" shapeId="0">
      <text>
        <t>[E] TTM net income ~$8B per COST 10-K FY25 + FY26 YTD</t>
      </text>
    </comment>
    <comment ref="J8" authorId="0" shapeId="0">
      <text>
        <t>Costco US comp sales +6.2% (ex-gas/FX) Q3 FY26</t>
      </text>
    </comment>
    <comment ref="K8" authorId="0" shapeId="0">
      <text>
        <t>[E] Costco e-commerce ~7.5% of revenue (vs ~16% for WMT US)</t>
      </text>
    </comment>
    <comment ref="L8" authorId="0" shapeId="0">
      <text>
        <t>Negligible advertising business; Costco does not run a retail-media platform</t>
      </text>
    </comment>
    <comment ref="M8" authorId="0" shapeId="0">
      <text>
        <t>Membership fee revenue ~$5B TTM (mgmt-disclosed; +9% YoY at last report)</t>
      </text>
    </comment>
    <comment ref="C9" authorId="0" shapeId="0">
      <text>
        <t>TGT ~$150/share × ~465M shares, May 2026 (~$70B)</t>
      </text>
    </comment>
    <comment ref="D9" authorId="0" shapeId="0">
      <text>
        <t>[E] Net debt ~$13B per TGT FY25 10-K balance sheet</t>
      </text>
    </comment>
    <comment ref="E9" authorId="0" shapeId="0">
      <text>
        <t>TTM revenue ~$107B per TGT IR + FY26 Q1 release</t>
      </text>
    </comment>
    <comment ref="F9" authorId="0" shapeId="0">
      <text>
        <t>[E] FY26 Q1 revenue growth ~+1.5% YoY, recovering from FY25 decline</t>
      </text>
    </comment>
    <comment ref="G9" authorId="0" shapeId="0">
      <text>
        <t>[E] Gross margin ~28% × $107B (per TGT Q1 release)</t>
      </text>
    </comment>
    <comment ref="H9" authorId="0" shapeId="0">
      <text>
        <t>[E] TTM EBITDA ~$10B (operating income ~$6.5B + D&amp;A ~$3.5B)</t>
      </text>
    </comment>
    <comment ref="I9" authorId="0" shapeId="0">
      <text>
        <t>[E] TTM net income ~$4.2B per TGT IR</t>
      </text>
    </comment>
    <comment ref="J9" authorId="0" shapeId="0">
      <text>
        <t>[E] TGT US comparable sales +2% Q1 FY26 (modest recovery vs FY25 declines)</t>
      </text>
    </comment>
    <comment ref="K9" authorId="0" shapeId="0">
      <text>
        <t>[E] TGT digital sales ~20% of revenue per FY25 10-K</t>
      </text>
    </comment>
    <comment ref="L9" authorId="0" shapeId="0">
      <text>
        <t>[E] Roundel ad business ~$2B annualized revenue (mgmt commentary 2025)</t>
      </text>
    </comment>
    <comment ref="M9" authorId="0" shapeId="0">
      <text>
        <t>[E] Target Circle 360 membership rev (small; launched 2024)</t>
      </text>
    </comment>
    <comment ref="C10" authorId="0" shapeId="0">
      <text>
        <t>AMZN ~$210/share × ~10.6B shares, May 2026 (~$2.2T)</t>
      </text>
    </comment>
    <comment ref="D10" authorId="0" shapeId="0">
      <text>
        <t>[E] Net debt ~$30B (excl. operating leases ~$80B+) per Q1 FY26 10-Q</t>
      </text>
    </comment>
    <comment ref="E10" authorId="0" shapeId="0">
      <text>
        <t>TTM consolidated revenue ~$650B (FY25 $638B + Q1 FY26 ~+10% growth)</t>
      </text>
    </comment>
    <comment ref="F10" authorId="0" shapeId="0">
      <text>
        <t>[E] Q1 FY26 revenue growth ~+10% YoY (AWS +18%, Retail ~+8%)</t>
      </text>
    </comment>
    <comment ref="G10" authorId="0" shapeId="0">
      <text>
        <t>[E] Gross margin ~47% × $650B (consolidated; AWS is high-margin)</t>
      </text>
    </comment>
    <comment ref="H10" authorId="0" shapeId="0">
      <text>
        <t>[E] TTM EBITDA ~$160B (operating income ~$80B + D&amp;A ~$80B)</t>
      </text>
    </comment>
    <comment ref="I10" authorId="0" shapeId="0">
      <text>
        <t>[E] TTM net income ~$65B per AMZN IR</t>
      </text>
    </comment>
    <comment ref="J10" authorId="0" shapeId="0">
      <text>
        <t>N/A — AMZN does not report comparable-store sales; not a retail-store model</t>
      </text>
    </comment>
    <comment ref="K10" authorId="0" shapeId="0">
      <text>
        <t>AMZN North America + International segments are ~entirely e-commerce/marketplace</t>
      </text>
    </comment>
    <comment ref="L10" authorId="0" shapeId="0">
      <text>
        <t>TTM advertising services revenue ~$60B (AMZN Q1 FY26 segment disclosure)</t>
      </text>
    </comment>
    <comment ref="M10" authorId="0" shapeId="0">
      <text>
        <t>[E] Prime membership + subscription services ~$45B TTM (segment disclosure)</t>
      </text>
    </comment>
    <comment ref="C11" authorId="0" shapeId="0">
      <text>
        <t>KR ~$70/share × ~715M shares, May 2026 (~$50B)</t>
      </text>
    </comment>
    <comment ref="D11" authorId="0" shapeId="0">
      <text>
        <t>[E] Net debt ~$13B per KR Q4 FY25 / Q1 FY26 balance sheet</t>
      </text>
    </comment>
    <comment ref="E11" authorId="0" shapeId="0">
      <text>
        <t>TTM revenue ~$148B per KR IR</t>
      </text>
    </comment>
    <comment ref="F11" authorId="0" shapeId="0">
      <text>
        <t>[E] FY26 Q1 revenue growth ~+2% YoY (post-Albertsons-merger-block environment)</t>
      </text>
    </comment>
    <comment ref="G11" authorId="0" shapeId="0">
      <text>
        <t>[E] Gross margin ~22% × $148B (per KR FY25 10-K)</t>
      </text>
    </comment>
    <comment ref="H11" authorId="0" shapeId="0">
      <text>
        <t>[E] TTM EBITDA ~$7B (operating income ~$4B + D&amp;A ~$3B)</t>
      </text>
    </comment>
    <comment ref="I11" authorId="0" shapeId="0">
      <text>
        <t>[E] TTM net income ~$2.5B per KR IR</t>
      </text>
    </comment>
    <comment ref="J11" authorId="0" shapeId="0">
      <text>
        <t>[E] KR identical sales (ex-fuel) +2.5% Q1 FY26</t>
      </text>
    </comment>
    <comment ref="K11" authorId="0" shapeId="0">
      <text>
        <t>[E] KR digital sales ~10% of revenue; growth ~15% YoY</t>
      </text>
    </comment>
    <comment ref="L11" authorId="0" shapeId="0">
      <text>
        <t>[E] Kroger Precision Marketing ad revenue ~$1.5B annualized</t>
      </text>
    </comment>
    <comment ref="M11" authorId="0" shapeId="0">
      <text>
        <t>No standalone membership program (Boost loyalty is free-tier)</t>
      </text>
    </comment>
    <comment ref="C12" authorId="0" shapeId="0">
      <text>
        <t>BJ ~$110/share × ~133M shares, May 2026 (~$15B)</t>
      </text>
    </comment>
    <comment ref="D12" authorId="0" shapeId="0">
      <text>
        <t>[E] Modest net debt ~$0.5B per BJ Q4 FY25 / Q1 FY26 balance sheet</t>
      </text>
    </comment>
    <comment ref="E12" authorId="0" shapeId="0">
      <text>
        <t>TTM revenue ~$22B per BJ IR</t>
      </text>
    </comment>
    <comment ref="F12" authorId="0" shapeId="0">
      <text>
        <t>[E] FY26 Q1 revenue growth ~+5% YoY</t>
      </text>
    </comment>
    <comment ref="G12" authorId="0" shapeId="0">
      <text>
        <t>[E] Gross margin ~18% × $22B (per BJ FY25 10-K incl. membership)</t>
      </text>
    </comment>
    <comment ref="H12" authorId="0" shapeId="0">
      <text>
        <t>[E] TTM EBITDA ~$1.1B (operating income ~$0.85B + D&amp;A ~$0.25B)</t>
      </text>
    </comment>
    <comment ref="I12" authorId="0" shapeId="0">
      <text>
        <t>[E] TTM net income ~$0.55B per BJ IR</t>
      </text>
    </comment>
    <comment ref="J12" authorId="0" shapeId="0">
      <text>
        <t>[E] BJ comparable club sales (ex-gas) ~+3.8% Q1 FY26</t>
      </text>
    </comment>
    <comment ref="K12" authorId="0" shapeId="0">
      <text>
        <t>[E] BJ digital sales ~5% of revenue</t>
      </text>
    </comment>
    <comment ref="L12" authorId="0" shapeId="0">
      <text>
        <t>Negligible ad business at current scale</t>
      </text>
    </comment>
    <comment ref="M12" authorId="0" shapeId="0">
      <text>
        <t>[E] BJ membership fee revenue ~$470M TTM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14" customWidth="1" min="5" max="5"/>
    <col width="13" customWidth="1" min="6" max="6"/>
    <col width="13" customWidth="1" min="7" max="7"/>
    <col width="14" customWidth="1" min="8" max="8"/>
    <col width="16" customWidth="1" min="9" max="9"/>
    <col width="13" customWidth="1" min="10" max="10"/>
    <col width="14" customWidth="1" min="11" max="11"/>
    <col width="14" customWidth="1" min="12" max="12"/>
    <col width="14" customWidth="1" min="13" max="13"/>
    <col width="34" customWidth="1" min="14" max="14"/>
  </cols>
  <sheetData>
    <row r="1">
      <c r="A1" s="1" t="inlineStr">
        <is>
          <t>BIG-BOX &amp; OMNICHANNEL RETAIL — COMPARABLE COMPANY ANALYSIS</t>
        </is>
      </c>
    </row>
    <row r="2">
      <c r="A2" s="2" t="inlineStr">
        <is>
          <t>Walmart (NYSE: WMT) • Costco Wholesale (Nasdaq: COST) • Target (NYSE: TGT) • Amazon (Nasdaq: AMZN) • Kroger (NYSE: KR) • BJ's Wholesale (NYSE: BJ)</t>
        </is>
      </c>
    </row>
    <row r="3">
      <c r="A3" s="3" t="inlineStr">
        <is>
          <t>As of May 2026 | TTM through FY26 Q1 (Apr 2026) where reported | All $ figures in USD millions except ratios and %</t>
        </is>
      </c>
    </row>
    <row r="5">
      <c r="A5" s="1" t="inlineStr">
        <is>
          <t>RAW INPUTS — cell comments cite source / assumption</t>
        </is>
      </c>
    </row>
    <row r="6">
      <c r="A6" s="4" t="inlineStr">
        <is>
          <t>Company</t>
        </is>
      </c>
      <c r="B6" s="4" t="inlineStr">
        <is>
          <t>Ticker</t>
        </is>
      </c>
      <c r="C6" s="4" t="inlineStr">
        <is>
          <t>Mkt Cap</t>
        </is>
      </c>
      <c r="D6" s="4" t="inlineStr">
        <is>
          <t>Net Debt</t>
        </is>
      </c>
      <c r="E6" s="4" t="inlineStr">
        <is>
          <t>Revenue (TTM)</t>
        </is>
      </c>
      <c r="F6" s="4" t="inlineStr">
        <is>
          <t>Rev Growth %</t>
        </is>
      </c>
      <c r="G6" s="4" t="inlineStr">
        <is>
          <t>Gross Profit</t>
        </is>
      </c>
      <c r="H6" s="4" t="inlineStr">
        <is>
          <t>EBITDA (TTM)</t>
        </is>
      </c>
      <c r="I6" s="4" t="inlineStr">
        <is>
          <t>Net Income (TTM)</t>
        </is>
      </c>
      <c r="J6" s="4" t="inlineStr">
        <is>
          <t>Comp Sales %</t>
        </is>
      </c>
      <c r="K6" s="4" t="inlineStr">
        <is>
          <t>E-com % of Rev</t>
        </is>
      </c>
      <c r="L6" s="4" t="inlineStr">
        <is>
          <t>Ad Revenue ($M)</t>
        </is>
      </c>
      <c r="M6" s="4" t="inlineStr">
        <is>
          <t>Mbrshp Rev ($M)</t>
        </is>
      </c>
      <c r="N6" s="4" t="inlineStr">
        <is>
          <t>Notes</t>
        </is>
      </c>
    </row>
    <row r="7">
      <c r="A7" s="5" t="inlineStr">
        <is>
          <t>Walmart</t>
        </is>
      </c>
      <c r="B7" s="6" t="inlineStr">
        <is>
          <t>NYSE: WMT</t>
        </is>
      </c>
      <c r="C7" s="7" t="n">
        <v>765000</v>
      </c>
      <c r="D7" s="7" t="n">
        <v>45000</v>
      </c>
      <c r="E7" s="7" t="n">
        <v>685000</v>
      </c>
      <c r="F7" s="8" t="n">
        <v>0.06</v>
      </c>
      <c r="G7" s="7" t="n">
        <v>167000</v>
      </c>
      <c r="H7" s="7" t="n">
        <v>45000</v>
      </c>
      <c r="I7" s="7" t="n">
        <v>17000</v>
      </c>
      <c r="J7" s="8" t="n">
        <v>0.045</v>
      </c>
      <c r="K7" s="8" t="n">
        <v>0.18</v>
      </c>
      <c r="L7" s="7" t="n">
        <v>5000</v>
      </c>
      <c r="M7" s="7" t="n">
        <v>3000</v>
      </c>
      <c r="N7" s="9" t="inlineStr">
        <is>
          <t>Contains [E] estimates — see cell comments</t>
        </is>
      </c>
    </row>
    <row r="8">
      <c r="A8" s="5" t="inlineStr">
        <is>
          <t>Costco Wholesale</t>
        </is>
      </c>
      <c r="B8" s="6" t="inlineStr">
        <is>
          <t>Nasdaq: COST</t>
        </is>
      </c>
      <c r="C8" s="7" t="n">
        <v>420000</v>
      </c>
      <c r="D8" s="7" t="n">
        <v>-3000</v>
      </c>
      <c r="E8" s="7" t="n">
        <v>270000</v>
      </c>
      <c r="F8" s="8" t="n">
        <v>0.08</v>
      </c>
      <c r="G8" s="7" t="n">
        <v>33750</v>
      </c>
      <c r="H8" s="7" t="n">
        <v>13000</v>
      </c>
      <c r="I8" s="7" t="n">
        <v>8000</v>
      </c>
      <c r="J8" s="8" t="n">
        <v>0.062</v>
      </c>
      <c r="K8" s="8" t="n">
        <v>0.075</v>
      </c>
      <c r="L8" s="7" t="n">
        <v>0</v>
      </c>
      <c r="M8" s="7" t="n">
        <v>5000</v>
      </c>
      <c r="N8" s="9" t="inlineStr">
        <is>
          <t>Contains [E] estimates — see cell comments</t>
        </is>
      </c>
    </row>
    <row r="9">
      <c r="A9" s="5" t="inlineStr">
        <is>
          <t>Target</t>
        </is>
      </c>
      <c r="B9" s="6" t="inlineStr">
        <is>
          <t>NYSE: TGT</t>
        </is>
      </c>
      <c r="C9" s="7" t="n">
        <v>70000</v>
      </c>
      <c r="D9" s="7" t="n">
        <v>13000</v>
      </c>
      <c r="E9" s="7" t="n">
        <v>107000</v>
      </c>
      <c r="F9" s="8" t="n">
        <v>0.015</v>
      </c>
      <c r="G9" s="7" t="n">
        <v>29960</v>
      </c>
      <c r="H9" s="7" t="n">
        <v>10000</v>
      </c>
      <c r="I9" s="7" t="n">
        <v>4200</v>
      </c>
      <c r="J9" s="8" t="n">
        <v>0.02</v>
      </c>
      <c r="K9" s="8" t="n">
        <v>0.2</v>
      </c>
      <c r="L9" s="7" t="n">
        <v>2000</v>
      </c>
      <c r="M9" s="7" t="n">
        <v>500</v>
      </c>
      <c r="N9" s="9" t="inlineStr">
        <is>
          <t>Contains [E] estimates — see cell comments</t>
        </is>
      </c>
    </row>
    <row r="10">
      <c r="A10" s="5" t="inlineStr">
        <is>
          <t>Amazon</t>
        </is>
      </c>
      <c r="B10" s="6" t="inlineStr">
        <is>
          <t>Nasdaq: AMZN</t>
        </is>
      </c>
      <c r="C10" s="7" t="n">
        <v>2200000</v>
      </c>
      <c r="D10" s="7" t="n">
        <v>30000</v>
      </c>
      <c r="E10" s="7" t="n">
        <v>650000</v>
      </c>
      <c r="F10" s="8" t="n">
        <v>0.1</v>
      </c>
      <c r="G10" s="7" t="n">
        <v>305000</v>
      </c>
      <c r="H10" s="7" t="n">
        <v>160000</v>
      </c>
      <c r="I10" s="7" t="n">
        <v>65000</v>
      </c>
      <c r="J10" s="3" t="inlineStr">
        <is>
          <t>N/A</t>
        </is>
      </c>
      <c r="K10" s="8" t="n">
        <v>1</v>
      </c>
      <c r="L10" s="7" t="n">
        <v>60000</v>
      </c>
      <c r="M10" s="7" t="n">
        <v>45000</v>
      </c>
      <c r="N10" s="9" t="inlineStr">
        <is>
          <t>Contains [E] estimates — see cell comments</t>
        </is>
      </c>
    </row>
    <row r="11">
      <c r="A11" s="5" t="inlineStr">
        <is>
          <t>Kroger</t>
        </is>
      </c>
      <c r="B11" s="6" t="inlineStr">
        <is>
          <t>NYSE: KR</t>
        </is>
      </c>
      <c r="C11" s="7" t="n">
        <v>50000</v>
      </c>
      <c r="D11" s="7" t="n">
        <v>13000</v>
      </c>
      <c r="E11" s="7" t="n">
        <v>148000</v>
      </c>
      <c r="F11" s="8" t="n">
        <v>0.02</v>
      </c>
      <c r="G11" s="7" t="n">
        <v>32560</v>
      </c>
      <c r="H11" s="7" t="n">
        <v>7000</v>
      </c>
      <c r="I11" s="7" t="n">
        <v>2500</v>
      </c>
      <c r="J11" s="8" t="n">
        <v>0.025</v>
      </c>
      <c r="K11" s="8" t="n">
        <v>0.1</v>
      </c>
      <c r="L11" s="7" t="n">
        <v>1500</v>
      </c>
      <c r="M11" s="7" t="n">
        <v>0</v>
      </c>
      <c r="N11" s="9" t="inlineStr">
        <is>
          <t>Contains [E] estimates — see cell comments</t>
        </is>
      </c>
    </row>
    <row r="12">
      <c r="A12" s="5" t="inlineStr">
        <is>
          <t>BJ's Wholesale</t>
        </is>
      </c>
      <c r="B12" s="6" t="inlineStr">
        <is>
          <t>NYSE: BJ</t>
        </is>
      </c>
      <c r="C12" s="7" t="n">
        <v>15000</v>
      </c>
      <c r="D12" s="7" t="n">
        <v>500</v>
      </c>
      <c r="E12" s="7" t="n">
        <v>22000</v>
      </c>
      <c r="F12" s="8" t="n">
        <v>0.05</v>
      </c>
      <c r="G12" s="7" t="n">
        <v>3960</v>
      </c>
      <c r="H12" s="7" t="n">
        <v>1100</v>
      </c>
      <c r="I12" s="7" t="n">
        <v>550</v>
      </c>
      <c r="J12" s="8" t="n">
        <v>0.038</v>
      </c>
      <c r="K12" s="8" t="n">
        <v>0.05</v>
      </c>
      <c r="L12" s="7" t="n">
        <v>0</v>
      </c>
      <c r="M12" s="7" t="n">
        <v>470</v>
      </c>
      <c r="N12" s="9" t="inlineStr">
        <is>
          <t>Contains [E] estimates — see cell comments</t>
        </is>
      </c>
    </row>
  </sheetData>
  <mergeCells count="4">
    <mergeCell ref="A5:N5"/>
    <mergeCell ref="A3:N3"/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OPERATING STATISTICS &amp; FINANCIAL METRICS</t>
        </is>
      </c>
    </row>
    <row r="2">
      <c r="A2" s="3" t="inlineStr">
        <is>
          <t>All $ figures USD millions except margins/growth. Formulas reference Inputs tab.</t>
        </is>
      </c>
    </row>
    <row r="4">
      <c r="A4" s="4" t="inlineStr">
        <is>
          <t>Company</t>
        </is>
      </c>
      <c r="B4" s="4" t="inlineStr">
        <is>
          <t>Revenue (TTM)</t>
        </is>
      </c>
      <c r="C4" s="4" t="inlineStr">
        <is>
          <t>Rev Growth (YoY)</t>
        </is>
      </c>
      <c r="D4" s="4" t="inlineStr">
        <is>
          <t>Gross Profit</t>
        </is>
      </c>
      <c r="E4" s="4" t="inlineStr">
        <is>
          <t>Gross Margin</t>
        </is>
      </c>
      <c r="F4" s="4" t="inlineStr">
        <is>
          <t>EBITDA (TTM)</t>
        </is>
      </c>
      <c r="G4" s="4" t="inlineStr">
        <is>
          <t>EBITDA Margin</t>
        </is>
      </c>
    </row>
    <row r="5">
      <c r="A5" s="5" t="inlineStr">
        <is>
          <t>Walmart</t>
        </is>
      </c>
      <c r="B5" s="10">
        <f>Inputs!E7</f>
        <v/>
      </c>
      <c r="C5" s="11">
        <f>IFERROR(Inputs!F7,"N/A")</f>
        <v/>
      </c>
      <c r="D5" s="10">
        <f>IFERROR(Inputs!G7,"N/A")</f>
        <v/>
      </c>
      <c r="E5" s="11">
        <f>IFERROR(Inputs!G7/Inputs!E7,"N/A")</f>
        <v/>
      </c>
      <c r="F5" s="10">
        <f>Inputs!H7</f>
        <v/>
      </c>
      <c r="G5" s="11">
        <f>IFERROR(Inputs!H7/Inputs!E7,"N/A")</f>
        <v/>
      </c>
    </row>
    <row r="6">
      <c r="A6" s="5" t="inlineStr">
        <is>
          <t>Costco Wholesale</t>
        </is>
      </c>
      <c r="B6" s="10">
        <f>Inputs!E8</f>
        <v/>
      </c>
      <c r="C6" s="11">
        <f>IFERROR(Inputs!F8,"N/A")</f>
        <v/>
      </c>
      <c r="D6" s="10">
        <f>IFERROR(Inputs!G8,"N/A")</f>
        <v/>
      </c>
      <c r="E6" s="11">
        <f>IFERROR(Inputs!G8/Inputs!E8,"N/A")</f>
        <v/>
      </c>
      <c r="F6" s="10">
        <f>Inputs!H8</f>
        <v/>
      </c>
      <c r="G6" s="11">
        <f>IFERROR(Inputs!H8/Inputs!E8,"N/A")</f>
        <v/>
      </c>
    </row>
    <row r="7">
      <c r="A7" s="5" t="inlineStr">
        <is>
          <t>Target</t>
        </is>
      </c>
      <c r="B7" s="10">
        <f>Inputs!E9</f>
        <v/>
      </c>
      <c r="C7" s="11">
        <f>IFERROR(Inputs!F9,"N/A")</f>
        <v/>
      </c>
      <c r="D7" s="10">
        <f>IFERROR(Inputs!G9,"N/A")</f>
        <v/>
      </c>
      <c r="E7" s="11">
        <f>IFERROR(Inputs!G9/Inputs!E9,"N/A")</f>
        <v/>
      </c>
      <c r="F7" s="10">
        <f>Inputs!H9</f>
        <v/>
      </c>
      <c r="G7" s="11">
        <f>IFERROR(Inputs!H9/Inputs!E9,"N/A")</f>
        <v/>
      </c>
    </row>
    <row r="8">
      <c r="A8" s="5" t="inlineStr">
        <is>
          <t>Amazon</t>
        </is>
      </c>
      <c r="B8" s="10">
        <f>Inputs!E10</f>
        <v/>
      </c>
      <c r="C8" s="11">
        <f>IFERROR(Inputs!F10,"N/A")</f>
        <v/>
      </c>
      <c r="D8" s="10">
        <f>IFERROR(Inputs!G10,"N/A")</f>
        <v/>
      </c>
      <c r="E8" s="11">
        <f>IFERROR(Inputs!G10/Inputs!E10,"N/A")</f>
        <v/>
      </c>
      <c r="F8" s="10">
        <f>Inputs!H10</f>
        <v/>
      </c>
      <c r="G8" s="11">
        <f>IFERROR(Inputs!H10/Inputs!E10,"N/A")</f>
        <v/>
      </c>
    </row>
    <row r="9">
      <c r="A9" s="5" t="inlineStr">
        <is>
          <t>Kroger</t>
        </is>
      </c>
      <c r="B9" s="10">
        <f>Inputs!E11</f>
        <v/>
      </c>
      <c r="C9" s="11">
        <f>IFERROR(Inputs!F11,"N/A")</f>
        <v/>
      </c>
      <c r="D9" s="10">
        <f>IFERROR(Inputs!G11,"N/A")</f>
        <v/>
      </c>
      <c r="E9" s="11">
        <f>IFERROR(Inputs!G11/Inputs!E11,"N/A")</f>
        <v/>
      </c>
      <c r="F9" s="10">
        <f>Inputs!H11</f>
        <v/>
      </c>
      <c r="G9" s="11">
        <f>IFERROR(Inputs!H11/Inputs!E11,"N/A")</f>
        <v/>
      </c>
    </row>
    <row r="10">
      <c r="A10" s="5" t="inlineStr">
        <is>
          <t>BJ's Wholesale</t>
        </is>
      </c>
      <c r="B10" s="10">
        <f>Inputs!E12</f>
        <v/>
      </c>
      <c r="C10" s="11">
        <f>IFERROR(Inputs!F12,"N/A")</f>
        <v/>
      </c>
      <c r="D10" s="10">
        <f>IFERROR(Inputs!G12,"N/A")</f>
        <v/>
      </c>
      <c r="E10" s="11">
        <f>IFERROR(Inputs!G12/Inputs!E12,"N/A")</f>
        <v/>
      </c>
      <c r="F10" s="10">
        <f>Inputs!H12</f>
        <v/>
      </c>
      <c r="G10" s="11">
        <f>IFERROR(Inputs!H12/Inputs!E12,"N/A")</f>
        <v/>
      </c>
    </row>
    <row r="12">
      <c r="A12" s="12" t="inlineStr">
        <is>
          <t>Maximum</t>
        </is>
      </c>
      <c r="B12" s="13" t="inlineStr"/>
      <c r="C12" s="14">
        <f>MAX(C5:C10)</f>
        <v/>
      </c>
      <c r="D12" s="13" t="inlineStr"/>
      <c r="E12" s="14">
        <f>MAX(E5:E10)</f>
        <v/>
      </c>
      <c r="F12" s="13" t="inlineStr"/>
      <c r="G12" s="14">
        <f>MAX(G5:G10)</f>
        <v/>
      </c>
    </row>
    <row r="13">
      <c r="A13" s="12" t="inlineStr">
        <is>
          <t>75th Percentile</t>
        </is>
      </c>
      <c r="B13" s="13" t="inlineStr"/>
      <c r="C13" s="14">
        <f>QUARTILE(C5:C10,3)</f>
        <v/>
      </c>
      <c r="D13" s="13" t="inlineStr"/>
      <c r="E13" s="14">
        <f>QUARTILE(E5:E10,3)</f>
        <v/>
      </c>
      <c r="F13" s="13" t="inlineStr"/>
      <c r="G13" s="14">
        <f>QUARTILE(G5:G10,3)</f>
        <v/>
      </c>
    </row>
    <row r="14">
      <c r="A14" s="12" t="inlineStr">
        <is>
          <t>Median</t>
        </is>
      </c>
      <c r="B14" s="13" t="inlineStr"/>
      <c r="C14" s="14">
        <f>MEDIAN(C5:C10)</f>
        <v/>
      </c>
      <c r="D14" s="13" t="inlineStr"/>
      <c r="E14" s="14">
        <f>MEDIAN(E5:E10)</f>
        <v/>
      </c>
      <c r="F14" s="13" t="inlineStr"/>
      <c r="G14" s="14">
        <f>MEDIAN(G5:G10)</f>
        <v/>
      </c>
    </row>
    <row r="15">
      <c r="A15" s="12" t="inlineStr">
        <is>
          <t>25th Percentile</t>
        </is>
      </c>
      <c r="B15" s="13" t="inlineStr"/>
      <c r="C15" s="14">
        <f>QUARTILE(C5:C10,1)</f>
        <v/>
      </c>
      <c r="D15" s="13" t="inlineStr"/>
      <c r="E15" s="14">
        <f>QUARTILE(E5:E10,1)</f>
        <v/>
      </c>
      <c r="F15" s="13" t="inlineStr"/>
      <c r="G15" s="14">
        <f>QUARTILE(G5:G10,1)</f>
        <v/>
      </c>
    </row>
    <row r="16">
      <c r="A16" s="12" t="inlineStr">
        <is>
          <t>Minimum</t>
        </is>
      </c>
      <c r="B16" s="13" t="inlineStr"/>
      <c r="C16" s="14">
        <f>MIN(C5:C10)</f>
        <v/>
      </c>
      <c r="D16" s="13" t="inlineStr"/>
      <c r="E16" s="14">
        <f>MIN(E5:E10)</f>
        <v/>
      </c>
      <c r="F16" s="13" t="inlineStr"/>
      <c r="G16" s="14">
        <f>MIN(G5:G10)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52" customWidth="1" min="7" max="7"/>
  </cols>
  <sheetData>
    <row r="1">
      <c r="A1" s="1" t="inlineStr">
        <is>
          <t>VALUATION MULTIPLES</t>
        </is>
      </c>
    </row>
    <row r="2">
      <c r="A2" s="3" t="inlineStr">
        <is>
          <t>EV = Market Cap + Net Debt (excl. operating leases). NM where denominator &lt;= 0.</t>
        </is>
      </c>
    </row>
    <row r="4">
      <c r="A4" s="4" t="inlineStr">
        <is>
          <t>Company</t>
        </is>
      </c>
      <c r="B4" s="4" t="inlineStr">
        <is>
          <t>Mkt Cap</t>
        </is>
      </c>
      <c r="C4" s="4" t="inlineStr">
        <is>
          <t>EV</t>
        </is>
      </c>
      <c r="D4" s="4" t="inlineStr">
        <is>
          <t>EV / Rev</t>
        </is>
      </c>
      <c r="E4" s="4" t="inlineStr">
        <is>
          <t>EV / EBITDA</t>
        </is>
      </c>
      <c r="F4" s="4" t="inlineStr">
        <is>
          <t>P / E (TTM)</t>
        </is>
      </c>
      <c r="G4" s="4" t="inlineStr">
        <is>
          <t>Comment</t>
        </is>
      </c>
    </row>
    <row r="5">
      <c r="A5" s="5" t="inlineStr">
        <is>
          <t>Walmart</t>
        </is>
      </c>
      <c r="B5" s="10">
        <f>Inputs!C7</f>
        <v/>
      </c>
      <c r="C5" s="10">
        <f>Inputs!C7+Inputs!D7</f>
        <v/>
      </c>
      <c r="D5" s="15">
        <f>IFERROR((Inputs!C7+Inputs!D7)/Inputs!E7,"NM")</f>
        <v/>
      </c>
      <c r="E5" s="15">
        <f>IF(Inputs!H7&gt;0,(Inputs!C7+Inputs!D7)/Inputs!H7,"NM")</f>
        <v/>
      </c>
      <c r="F5" s="15">
        <f>IF(Inputs!I7&gt;0,Inputs!C7/Inputs!I7,"NM")</f>
        <v/>
      </c>
      <c r="G5" s="16" t="inlineStr">
        <is>
          <t>Re-rating in progress as ad/marketplace mix expands EBITDA margin</t>
        </is>
      </c>
    </row>
    <row r="6">
      <c r="A6" s="5" t="inlineStr">
        <is>
          <t>Costco Wholesale</t>
        </is>
      </c>
      <c r="B6" s="10">
        <f>Inputs!C8</f>
        <v/>
      </c>
      <c r="C6" s="10">
        <f>Inputs!C8+Inputs!D8</f>
        <v/>
      </c>
      <c r="D6" s="15">
        <f>IFERROR((Inputs!C8+Inputs!D8)/Inputs!E8,"NM")</f>
        <v/>
      </c>
      <c r="E6" s="15">
        <f>IF(Inputs!H8&gt;0,(Inputs!C8+Inputs!D8)/Inputs!H8,"NM")</f>
        <v/>
      </c>
      <c r="F6" s="15">
        <f>IF(Inputs!I8&gt;0,Inputs!C8/Inputs!I8,"NM")</f>
        <v/>
      </c>
      <c r="G6" s="16" t="inlineStr">
        <is>
          <t>Premium-priced peer; membership economics support 40%+ P/E premium to WMT</t>
        </is>
      </c>
    </row>
    <row r="7">
      <c r="A7" s="5" t="inlineStr">
        <is>
          <t>Target</t>
        </is>
      </c>
      <c r="B7" s="10">
        <f>Inputs!C9</f>
        <v/>
      </c>
      <c r="C7" s="10">
        <f>Inputs!C9+Inputs!D9</f>
        <v/>
      </c>
      <c r="D7" s="15">
        <f>IFERROR((Inputs!C9+Inputs!D9)/Inputs!E9,"NM")</f>
        <v/>
      </c>
      <c r="E7" s="15">
        <f>IF(Inputs!H9&gt;0,(Inputs!C9+Inputs!D9)/Inputs!H9,"NM")</f>
        <v/>
      </c>
      <c r="F7" s="15">
        <f>IF(Inputs!I9&gt;0,Inputs!C9/Inputs!I9,"NM")</f>
        <v/>
      </c>
      <c r="G7" s="16" t="inlineStr">
        <is>
          <t>Cheapest large-cap mass merchant; pricing-in slower comp recovery</t>
        </is>
      </c>
    </row>
    <row r="8">
      <c r="A8" s="5" t="inlineStr">
        <is>
          <t>Amazon</t>
        </is>
      </c>
      <c r="B8" s="10">
        <f>Inputs!C10</f>
        <v/>
      </c>
      <c r="C8" s="10">
        <f>Inputs!C10+Inputs!D10</f>
        <v/>
      </c>
      <c r="D8" s="15">
        <f>IFERROR((Inputs!C10+Inputs!D10)/Inputs!E10,"NM")</f>
        <v/>
      </c>
      <c r="E8" s="15">
        <f>IF(Inputs!H10&gt;0,(Inputs!C10+Inputs!D10)/Inputs!H10,"NM")</f>
        <v/>
      </c>
      <c r="F8" s="15">
        <f>IF(Inputs!I10&gt;0,Inputs!C10/Inputs!I10,"NM")</f>
        <v/>
      </c>
      <c r="G8" s="16" t="inlineStr">
        <is>
          <t>Headline multiples reflect AWS economics; retail-only would screen differently</t>
        </is>
      </c>
    </row>
    <row r="9">
      <c r="A9" s="5" t="inlineStr">
        <is>
          <t>Kroger</t>
        </is>
      </c>
      <c r="B9" s="10">
        <f>Inputs!C11</f>
        <v/>
      </c>
      <c r="C9" s="10">
        <f>Inputs!C11+Inputs!D11</f>
        <v/>
      </c>
      <c r="D9" s="15">
        <f>IFERROR((Inputs!C11+Inputs!D11)/Inputs!E11,"NM")</f>
        <v/>
      </c>
      <c r="E9" s="15">
        <f>IF(Inputs!H11&gt;0,(Inputs!C11+Inputs!D11)/Inputs!H11,"NM")</f>
        <v/>
      </c>
      <c r="F9" s="15">
        <f>IF(Inputs!I11&gt;0,Inputs!C11/Inputs!I11,"NM")</f>
        <v/>
      </c>
      <c r="G9" s="16" t="inlineStr">
        <is>
          <t>Pure-play grocery; thin EBITDA margin caps multiple expansion</t>
        </is>
      </c>
    </row>
    <row r="10">
      <c r="A10" s="5" t="inlineStr">
        <is>
          <t>BJ's Wholesale</t>
        </is>
      </c>
      <c r="B10" s="10">
        <f>Inputs!C12</f>
        <v/>
      </c>
      <c r="C10" s="10">
        <f>Inputs!C12+Inputs!D12</f>
        <v/>
      </c>
      <c r="D10" s="15">
        <f>IFERROR((Inputs!C12+Inputs!D12)/Inputs!E12,"NM")</f>
        <v/>
      </c>
      <c r="E10" s="15">
        <f>IF(Inputs!H12&gt;0,(Inputs!C12+Inputs!D12)/Inputs!H12,"NM")</f>
        <v/>
      </c>
      <c r="F10" s="15">
        <f>IF(Inputs!I12&gt;0,Inputs!C12/Inputs!I12,"NM")</f>
        <v/>
      </c>
      <c r="G10" s="16" t="inlineStr">
        <is>
          <t>Warehouse-club discount to COST; smaller scale, weaker membership renewal data</t>
        </is>
      </c>
    </row>
    <row r="12">
      <c r="A12" s="12" t="inlineStr">
        <is>
          <t>Maximum</t>
        </is>
      </c>
      <c r="B12" s="13" t="inlineStr"/>
      <c r="C12" s="13" t="inlineStr"/>
      <c r="D12" s="17">
        <f>MAX(D5:D10)</f>
        <v/>
      </c>
      <c r="E12" s="17">
        <f>MAX(E5:E10)</f>
        <v/>
      </c>
      <c r="F12" s="17">
        <f>MAX(F5:F10)</f>
        <v/>
      </c>
      <c r="G12" s="13" t="inlineStr"/>
    </row>
    <row r="13">
      <c r="A13" s="12" t="inlineStr">
        <is>
          <t>75th Percentile</t>
        </is>
      </c>
      <c r="B13" s="13" t="inlineStr"/>
      <c r="C13" s="13" t="inlineStr"/>
      <c r="D13" s="17">
        <f>QUARTILE(D5:D10,3)</f>
        <v/>
      </c>
      <c r="E13" s="17">
        <f>QUARTILE(E5:E10,3)</f>
        <v/>
      </c>
      <c r="F13" s="17">
        <f>QUARTILE(F5:F10,3)</f>
        <v/>
      </c>
      <c r="G13" s="13" t="inlineStr"/>
    </row>
    <row r="14">
      <c r="A14" s="12" t="inlineStr">
        <is>
          <t>Median</t>
        </is>
      </c>
      <c r="B14" s="13" t="inlineStr"/>
      <c r="C14" s="13" t="inlineStr"/>
      <c r="D14" s="17">
        <f>MEDIAN(D5:D10)</f>
        <v/>
      </c>
      <c r="E14" s="17">
        <f>MEDIAN(E5:E10)</f>
        <v/>
      </c>
      <c r="F14" s="17">
        <f>MEDIAN(F5:F10)</f>
        <v/>
      </c>
      <c r="G14" s="13" t="inlineStr"/>
    </row>
    <row r="15">
      <c r="A15" s="12" t="inlineStr">
        <is>
          <t>25th Percentile</t>
        </is>
      </c>
      <c r="B15" s="13" t="inlineStr"/>
      <c r="C15" s="13" t="inlineStr"/>
      <c r="D15" s="17">
        <f>QUARTILE(D5:D10,1)</f>
        <v/>
      </c>
      <c r="E15" s="17">
        <f>QUARTILE(E5:E10,1)</f>
        <v/>
      </c>
      <c r="F15" s="17">
        <f>QUARTILE(F5:F10,1)</f>
        <v/>
      </c>
      <c r="G15" s="13" t="inlineStr"/>
    </row>
    <row r="16">
      <c r="A16" s="12" t="inlineStr">
        <is>
          <t>Minimum</t>
        </is>
      </c>
      <c r="B16" s="13" t="inlineStr"/>
      <c r="C16" s="13" t="inlineStr"/>
      <c r="D16" s="17">
        <f>MIN(D5:D10)</f>
        <v/>
      </c>
      <c r="E16" s="17">
        <f>MIN(E5:E10)</f>
        <v/>
      </c>
      <c r="F16" s="17">
        <f>MIN(F5:F10)</f>
        <v/>
      </c>
      <c r="G16" s="1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4" customWidth="1" min="5" max="5"/>
    <col width="18" customWidth="1" min="6" max="6"/>
    <col width="16" customWidth="1" min="7" max="7"/>
    <col width="54" customWidth="1" min="8" max="8"/>
  </cols>
  <sheetData>
    <row r="1">
      <c r="A1" s="1" t="inlineStr">
        <is>
          <t>RETAIL-SPECIFIC METRICS — Comp Sales, Mix, Ads &amp; Membership</t>
        </is>
      </c>
    </row>
    <row r="2">
      <c r="A2" s="3" t="inlineStr">
        <is>
          <t>Industry-defining metrics: comparable sales, e-com penetration, and the high-margin tiers (ads + membership) that drive margin mix.</t>
        </is>
      </c>
    </row>
    <row r="4">
      <c r="A4" s="4" t="inlineStr">
        <is>
          <t>Company</t>
        </is>
      </c>
      <c r="B4" s="4" t="inlineStr">
        <is>
          <t>Comp Sales %</t>
        </is>
      </c>
      <c r="C4" s="4" t="inlineStr">
        <is>
          <t>E-com % of Rev</t>
        </is>
      </c>
      <c r="D4" s="4" t="inlineStr">
        <is>
          <t>Ad Revenue ($M)</t>
        </is>
      </c>
      <c r="E4" s="4" t="inlineStr">
        <is>
          <t>Ad % of Rev</t>
        </is>
      </c>
      <c r="F4" s="4" t="inlineStr">
        <is>
          <t>Membership Rev ($M)</t>
        </is>
      </c>
      <c r="G4" s="4" t="inlineStr">
        <is>
          <t>Mbrshp % of Rev</t>
        </is>
      </c>
      <c r="H4" s="4" t="inlineStr">
        <is>
          <t>Posture</t>
        </is>
      </c>
    </row>
    <row r="5">
      <c r="A5" s="5" t="inlineStr">
        <is>
          <t>Walmart</t>
        </is>
      </c>
      <c r="B5" s="11">
        <f>IFERROR(Inputs!J7,"N/A")</f>
        <v/>
      </c>
      <c r="C5" s="11">
        <f>IFERROR(Inputs!K7,"N/A")</f>
        <v/>
      </c>
      <c r="D5" s="10">
        <f>Inputs!L7</f>
        <v/>
      </c>
      <c r="E5" s="11">
        <f>IFERROR(Inputs!L7/Inputs!E7,"N/A")</f>
        <v/>
      </c>
      <c r="F5" s="10">
        <f>Inputs!M7</f>
        <v/>
      </c>
      <c r="G5" s="11">
        <f>IFERROR(Inputs!M7/Inputs!E7,"N/A")</f>
        <v/>
      </c>
      <c r="H5" s="16" t="inlineStr">
        <is>
          <t>Scale incumbent — building ad + marketplace + Walmart+ on top of grocery flywheel</t>
        </is>
      </c>
    </row>
    <row r="6">
      <c r="A6" s="5" t="inlineStr">
        <is>
          <t>Costco Wholesale</t>
        </is>
      </c>
      <c r="B6" s="11">
        <f>IFERROR(Inputs!J8,"N/A")</f>
        <v/>
      </c>
      <c r="C6" s="11">
        <f>IFERROR(Inputs!K8,"N/A")</f>
        <v/>
      </c>
      <c r="D6" s="10">
        <f>Inputs!L8</f>
        <v/>
      </c>
      <c r="E6" s="11">
        <f>IFERROR(Inputs!L8/Inputs!E8,"N/A")</f>
        <v/>
      </c>
      <c r="F6" s="10">
        <f>Inputs!M8</f>
        <v/>
      </c>
      <c r="G6" s="11">
        <f>IFERROR(Inputs!M8/Inputs!E8,"N/A")</f>
        <v/>
      </c>
      <c r="H6" s="16" t="inlineStr">
        <is>
          <t>Membership-first warehouse club — premium loyalty, low-margin merchandise</t>
        </is>
      </c>
    </row>
    <row r="7">
      <c r="A7" s="5" t="inlineStr">
        <is>
          <t>Target</t>
        </is>
      </c>
      <c r="B7" s="11">
        <f>IFERROR(Inputs!J9,"N/A")</f>
        <v/>
      </c>
      <c r="C7" s="11">
        <f>IFERROR(Inputs!K9,"N/A")</f>
        <v/>
      </c>
      <c r="D7" s="10">
        <f>Inputs!L9</f>
        <v/>
      </c>
      <c r="E7" s="11">
        <f>IFERROR(Inputs!L9/Inputs!E9,"N/A")</f>
        <v/>
      </c>
      <c r="F7" s="10">
        <f>Inputs!M9</f>
        <v/>
      </c>
      <c r="G7" s="11">
        <f>IFERROR(Inputs!M9/Inputs!E9,"N/A")</f>
        <v/>
      </c>
      <c r="H7" s="16" t="inlineStr">
        <is>
          <t>Cheap-chic mass — Roundel ad business is the bright spot in a soft topline</t>
        </is>
      </c>
    </row>
    <row r="8">
      <c r="A8" s="5" t="inlineStr">
        <is>
          <t>Amazon</t>
        </is>
      </c>
      <c r="B8" s="11">
        <f>IFERROR(Inputs!J10,"N/A")</f>
        <v/>
      </c>
      <c r="C8" s="11">
        <f>IFERROR(Inputs!K10,"N/A")</f>
        <v/>
      </c>
      <c r="D8" s="10">
        <f>Inputs!L10</f>
        <v/>
      </c>
      <c r="E8" s="11">
        <f>IFERROR(Inputs!L10/Inputs!E10,"N/A")</f>
        <v/>
      </c>
      <c r="F8" s="10">
        <f>Inputs!M10</f>
        <v/>
      </c>
      <c r="G8" s="11">
        <f>IFERROR(Inputs!M10/Inputs!E10,"N/A")</f>
        <v/>
      </c>
      <c r="H8" s="16" t="inlineStr">
        <is>
          <t>Marketplace-first — ad business is ~10% of revenue and the highest-margin retail tier</t>
        </is>
      </c>
    </row>
    <row r="9">
      <c r="A9" s="5" t="inlineStr">
        <is>
          <t>Kroger</t>
        </is>
      </c>
      <c r="B9" s="11">
        <f>IFERROR(Inputs!J11,"N/A")</f>
        <v/>
      </c>
      <c r="C9" s="11">
        <f>IFERROR(Inputs!K11,"N/A")</f>
        <v/>
      </c>
      <c r="D9" s="10">
        <f>Inputs!L11</f>
        <v/>
      </c>
      <c r="E9" s="11">
        <f>IFERROR(Inputs!L11/Inputs!E11,"N/A")</f>
        <v/>
      </c>
      <c r="F9" s="10">
        <f>Inputs!M11</f>
        <v/>
      </c>
      <c r="G9" s="11">
        <f>IFERROR(Inputs!M11/Inputs!E11,"N/A")</f>
        <v/>
      </c>
      <c r="H9" s="16" t="inlineStr">
        <is>
          <t>Pure-play grocer — Precision Marketing ad business is the margin lever</t>
        </is>
      </c>
    </row>
    <row r="10">
      <c r="A10" s="5" t="inlineStr">
        <is>
          <t>BJ's Wholesale</t>
        </is>
      </c>
      <c r="B10" s="11">
        <f>IFERROR(Inputs!J12,"N/A")</f>
        <v/>
      </c>
      <c r="C10" s="11">
        <f>IFERROR(Inputs!K12,"N/A")</f>
        <v/>
      </c>
      <c r="D10" s="10">
        <f>Inputs!L12</f>
        <v/>
      </c>
      <c r="E10" s="11">
        <f>IFERROR(Inputs!L12/Inputs!E12,"N/A")</f>
        <v/>
      </c>
      <c r="F10" s="10">
        <f>Inputs!M12</f>
        <v/>
      </c>
      <c r="G10" s="11">
        <f>IFERROR(Inputs!M12/Inputs!E12,"N/A")</f>
        <v/>
      </c>
      <c r="H10" s="16" t="inlineStr">
        <is>
          <t>Sub-scale COST follower — value-led, limited ad/digital optionality</t>
        </is>
      </c>
    </row>
    <row r="12">
      <c r="A12" s="12" t="inlineStr">
        <is>
          <t>Maximum</t>
        </is>
      </c>
      <c r="B12" s="14">
        <f>MAX(B5:B10)</f>
        <v/>
      </c>
      <c r="C12" s="14">
        <f>MAX(C5:C10)</f>
        <v/>
      </c>
      <c r="D12" s="13" t="inlineStr"/>
      <c r="E12" s="14">
        <f>MAX(E5:E10)</f>
        <v/>
      </c>
      <c r="F12" s="13" t="inlineStr"/>
      <c r="G12" s="14">
        <f>MAX(G5:G10)</f>
        <v/>
      </c>
      <c r="H12" s="13" t="inlineStr"/>
    </row>
    <row r="13">
      <c r="A13" s="12" t="inlineStr">
        <is>
          <t>75th Percentile</t>
        </is>
      </c>
      <c r="B13" s="14">
        <f>QUARTILE(B5:B10,3)</f>
        <v/>
      </c>
      <c r="C13" s="14">
        <f>QUARTILE(C5:C10,3)</f>
        <v/>
      </c>
      <c r="D13" s="13" t="inlineStr"/>
      <c r="E13" s="14">
        <f>QUARTILE(E5:E10,3)</f>
        <v/>
      </c>
      <c r="F13" s="13" t="inlineStr"/>
      <c r="G13" s="14">
        <f>QUARTILE(G5:G10,3)</f>
        <v/>
      </c>
      <c r="H13" s="13" t="inlineStr"/>
    </row>
    <row r="14">
      <c r="A14" s="12" t="inlineStr">
        <is>
          <t>Median</t>
        </is>
      </c>
      <c r="B14" s="14">
        <f>MEDIAN(B5:B10)</f>
        <v/>
      </c>
      <c r="C14" s="14">
        <f>MEDIAN(C5:C10)</f>
        <v/>
      </c>
      <c r="D14" s="13" t="inlineStr"/>
      <c r="E14" s="14">
        <f>MEDIAN(E5:E10)</f>
        <v/>
      </c>
      <c r="F14" s="13" t="inlineStr"/>
      <c r="G14" s="14">
        <f>MEDIAN(G5:G10)</f>
        <v/>
      </c>
      <c r="H14" s="13" t="inlineStr"/>
    </row>
    <row r="15">
      <c r="A15" s="12" t="inlineStr">
        <is>
          <t>25th Percentile</t>
        </is>
      </c>
      <c r="B15" s="14">
        <f>QUARTILE(B5:B10,1)</f>
        <v/>
      </c>
      <c r="C15" s="14">
        <f>QUARTILE(C5:C10,1)</f>
        <v/>
      </c>
      <c r="D15" s="13" t="inlineStr"/>
      <c r="E15" s="14">
        <f>QUARTILE(E5:E10,1)</f>
        <v/>
      </c>
      <c r="F15" s="13" t="inlineStr"/>
      <c r="G15" s="14">
        <f>QUARTILE(G5:G10,1)</f>
        <v/>
      </c>
      <c r="H15" s="13" t="inlineStr"/>
    </row>
    <row r="16">
      <c r="A16" s="12" t="inlineStr">
        <is>
          <t>Minimum</t>
        </is>
      </c>
      <c r="B16" s="14">
        <f>MIN(B5:B10)</f>
        <v/>
      </c>
      <c r="C16" s="14">
        <f>MIN(C5:C10)</f>
        <v/>
      </c>
      <c r="D16" s="13" t="inlineStr"/>
      <c r="E16" s="14">
        <f>MIN(E5:E10)</f>
        <v/>
      </c>
      <c r="F16" s="13" t="inlineStr"/>
      <c r="G16" s="14">
        <f>MIN(G5:G10)</f>
        <v/>
      </c>
      <c r="H16" s="1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NOTES, METHODOLOGY &amp; DATA-SOURCE CAVEATS</t>
        </is>
      </c>
    </row>
    <row r="3">
      <c r="A3" s="18" t="inlineStr">
        <is>
          <t>Data sources</t>
        </is>
      </c>
    </row>
    <row r="4" ht="18" customHeight="1">
      <c r="A4" s="19" t="inlineStr">
        <is>
          <t>MCP data sources (S&amp;P Kensho / CapIQ, FactSet, Daloopa) WERE NOT USED — the FSI plugin connectors were not configured in this environment.</t>
        </is>
      </c>
    </row>
    <row r="5" ht="18" customHeight="1">
      <c r="A5" s="19" t="inlineStr">
        <is>
          <t>Primary public sources: SEC EDGAR (10-K FY25 and 10-Q FY26 Q1 for each issuer), company IR releases, StockAnalysis.com / Yahoo Finance for market data.</t>
        </is>
      </c>
    </row>
    <row r="6" ht="18" customHeight="1">
      <c r="A6" s="19" t="inlineStr">
        <is>
          <t>Where required figures were not directly disclosed, an [E] estimate is shown with the underlying assumption documented in the cell comment.</t>
        </is>
      </c>
    </row>
    <row r="8">
      <c r="A8" s="18" t="inlineStr">
        <is>
          <t>Period definitions</t>
        </is>
      </c>
    </row>
    <row r="9" ht="18" customHeight="1">
      <c r="A9" s="19" t="inlineStr">
        <is>
          <t>WMT, TGT, COST use fiscal years offset from calendar — FY26 Q1 maps to calendar Feb-Apr 2026 (WMT) / Mar-May 2026 (TGT) / Feb-May 2026 (COST).</t>
        </is>
      </c>
    </row>
    <row r="10" ht="18" customHeight="1">
      <c r="A10" s="19" t="inlineStr">
        <is>
          <t>AMZN, KR, BJ use calendar-year reporting; AMZN Q1 FY26 = Jan-Mar 2026.</t>
        </is>
      </c>
    </row>
    <row r="11" ht="18" customHeight="1">
      <c r="A11" s="19" t="inlineStr">
        <is>
          <t>TTM = trailing four reported quarters as of latest filing; mixed fiscal-year ends are flagged where material.</t>
        </is>
      </c>
    </row>
    <row r="12" ht="18" customHeight="1">
      <c r="A12" s="19" t="inlineStr">
        <is>
          <t>Comparable / identical sales: per each issuer's published definition; ex-fuel for WMT/KR/BJ; ex-gasoline/FX for COST; ex-gas for KR.</t>
        </is>
      </c>
    </row>
    <row r="14">
      <c r="A14" s="18" t="inlineStr">
        <is>
          <t>Definitions</t>
        </is>
      </c>
    </row>
    <row r="15" ht="18" customHeight="1">
      <c r="A15" s="19" t="inlineStr">
        <is>
          <t>EV = Market Cap + Net Debt (Total Debt - Cash). Operating-lease liabilities excluded — they are material for AMZN especially; flagged in Notes.</t>
        </is>
      </c>
    </row>
    <row r="16" ht="18" customHeight="1">
      <c r="A16" s="19" t="inlineStr">
        <is>
          <t>Ad revenue: 'retail media' revenue reported as a distinct line where disclosed (AMZN advertising services; mgmt estimates for WMT Connect, Roundel, Kroger Precision Marketing).</t>
        </is>
      </c>
    </row>
    <row r="17" ht="18" customHeight="1">
      <c r="A17" s="19" t="inlineStr">
        <is>
          <t>Membership revenue: dues / fees only (COST membership, Sam's Club, BJ membership, Walmart+ subscription, AMZN Prime + subscription services).</t>
        </is>
      </c>
    </row>
    <row r="18" ht="18" customHeight="1">
      <c r="A18" s="19" t="inlineStr">
        <is>
          <t>[NM] = not meaningful (multiple denominator &lt;= 0). [E] = estimate, source of estimate noted in cell comment.</t>
        </is>
      </c>
    </row>
    <row r="20">
      <c r="A20" s="18" t="inlineStr">
        <is>
          <t>Industry-specific guidance</t>
        </is>
      </c>
    </row>
    <row r="21" ht="18" customHeight="1">
      <c r="A21" s="19" t="inlineStr">
        <is>
          <t>Standard EV/EBITDA is reasonably comparable across this set, but headline AMZN multiples are distorted by AWS (~30%+ of consolidated EBITDA at much higher margin than retail).</t>
        </is>
      </c>
    </row>
    <row r="22" ht="18" customHeight="1">
      <c r="A22" s="19" t="inlineStr">
        <is>
          <t>For Walmart vs. peers, the most differentiated comp lenses are: (a) ad % of revenue (margin mix shift), (b) membership revenue $/customer, (c) comp sales growth.</t>
        </is>
      </c>
    </row>
    <row r="23" ht="18" customHeight="1">
      <c r="A23" s="19" t="inlineStr">
        <is>
          <t>Costco's premium P/E reflects (i) renewal-rate certainty (~92%+), (ii) negative net debt, (iii) executive-membership pricing power — none of which the others fully replicate.</t>
        </is>
      </c>
    </row>
    <row r="24" ht="18" customHeight="1">
      <c r="A24" s="19" t="inlineStr">
        <is>
          <t>BJ trades at a structural discount to COST; the gap closing requires demonstrated renewal-rate parity.</t>
        </is>
      </c>
    </row>
    <row r="26">
      <c r="A26" s="18" t="inlineStr">
        <is>
          <t>Caveats &amp; limitations</t>
        </is>
      </c>
    </row>
    <row r="27" ht="18" customHeight="1">
      <c r="A27" s="19" t="inlineStr">
        <is>
          <t>1. Operating-lease liabilities not included in Net Debt — material for AMZN (~$80B+) and TGT (~$3B+). EV understates economic leverage proportionally.</t>
        </is>
      </c>
    </row>
    <row r="28" ht="18" customHeight="1">
      <c r="A28" s="19" t="inlineStr">
        <is>
          <t>2. AMZN comparability: AWS distorts every consolidated multiple. A clean retail-segment comparable would require disaggregation not performed here.</t>
        </is>
      </c>
    </row>
    <row r="29" ht="18" customHeight="1">
      <c r="A29" s="19" t="inlineStr">
        <is>
          <t>3. Membership / ad revenue estimates: where mgmt does not separately disclose, figures are [E] based on prepared commentary at recent earnings calls.</t>
        </is>
      </c>
    </row>
    <row r="30" ht="18" customHeight="1">
      <c r="A30" s="19" t="inlineStr">
        <is>
          <t>4. This analysis is research, not investment advice. Cross-check against a primary terminal (Bloomberg, CapIQ, FactSet) before any binding decision.</t>
        </is>
      </c>
    </row>
    <row r="32">
      <c r="A32" s="18" t="inlineStr">
        <is>
          <t>Cross-references</t>
        </is>
      </c>
    </row>
    <row r="33" ht="18" customHeight="1">
      <c r="A33" s="19" t="inlineStr">
        <is>
          <t>Companion file: WMT-Competitive-Analysis.pptx (slide deck per `competitive-analysis` skill).</t>
        </is>
      </c>
    </row>
    <row r="34" ht="18" customHeight="1">
      <c r="A34" s="19" t="inlineStr">
        <is>
          <t>Companion HTML view: WMT-Competitive-Analysis.html (browser-renderable summary).</t>
        </is>
      </c>
    </row>
    <row r="35" ht="18" customHeight="1">
      <c r="A35" s="19" t="inlineStr">
        <is>
          <t>Build script: build_comps.py — re-run to refresh after updating INPUTS dict.</t>
        </is>
      </c>
    </row>
  </sheetData>
  <mergeCells count="29">
    <mergeCell ref="A30:E30"/>
    <mergeCell ref="A34:E34"/>
    <mergeCell ref="A24:E24"/>
    <mergeCell ref="A15:E15"/>
    <mergeCell ref="A11:E11"/>
    <mergeCell ref="A1:E1"/>
    <mergeCell ref="A6:E6"/>
    <mergeCell ref="A16:E16"/>
    <mergeCell ref="A18:E18"/>
    <mergeCell ref="A27:E27"/>
    <mergeCell ref="A3:E3"/>
    <mergeCell ref="A21:E21"/>
    <mergeCell ref="A12:E12"/>
    <mergeCell ref="A26:E26"/>
    <mergeCell ref="A33:E33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35:E35"/>
    <mergeCell ref="A20:E20"/>
    <mergeCell ref="A10:E10"/>
    <mergeCell ref="A28:E2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2026-05-22T05:39:10Z</dcterms:created>
  <dcterms:modified xmlns:dcterms="http://purl.org/dc/terms/" xmlns:xsi="http://www.w3.org/2001/XMLSchema-instance" xsi:type="dcterms:W3CDTF">2026-05-22T05:39:10Z</dcterms:modified>
</cp:coreProperties>
</file>